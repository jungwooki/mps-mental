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정 기준" sheetId="1" state="visible" r:id="rId3"/>
    <sheet name="리포트 카드" sheetId="2" state="visible" r:id="rId4"/>
    <sheet name="포지션 정의" sheetId="3" state="visible" r:id="rId5"/>
    <sheet name="포지션별 프로필" sheetId="4" state="visible" r:id="rId6"/>
    <sheet name="선수별 포지션" sheetId="5" state="visible" r:id="rId7"/>
  </sheets>
  <definedNames>
    <definedName function="false" hidden="true" localSheetId="4" name="_xlnm._FilterDatabase" vbProcedure="false">'선수별 포지션'!$A$1:$AI$242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<sst xmlns="http://schemas.openxmlformats.org/spreadsheetml/2006/main" count="1205" uniqueCount="467">
  <si>
    <r>
      <rPr>
        <b val="true"/>
        <sz val="14"/>
        <rFont val="Arial"/>
        <family val="0"/>
        <charset val="1"/>
      </rPr>
      <t xml:space="preserve">MPS </t>
    </r>
    <r>
      <rPr>
        <b val="true"/>
        <sz val="14"/>
        <rFont val="Noto Sans CJK SC"/>
        <family val="2"/>
      </rPr>
      <t xml:space="preserve">멘탈 포지션 — 판정 기준</t>
    </r>
  </si>
  <si>
    <r>
      <rPr>
        <b val="true"/>
        <sz val="11"/>
        <rFont val="Noto Sans CJK SC"/>
        <family val="2"/>
      </rPr>
      <t xml:space="preserve">포지션 경계값 </t>
    </r>
    <r>
      <rPr>
        <b val="true"/>
        <sz val="11"/>
        <rFont val="Arial"/>
        <family val="0"/>
        <charset val="1"/>
      </rPr>
      <t xml:space="preserve">(3</t>
    </r>
    <r>
      <rPr>
        <b val="true"/>
        <sz val="11"/>
        <rFont val="Noto Sans CJK SC"/>
        <family val="2"/>
      </rPr>
      <t xml:space="preserve">축</t>
    </r>
    <r>
      <rPr>
        <b val="true"/>
        <sz val="11"/>
        <rFont val="Arial"/>
        <family val="0"/>
        <charset val="1"/>
      </rPr>
      <t xml:space="preserve">, 1~6</t>
    </r>
    <r>
      <rPr>
        <b val="true"/>
        <sz val="11"/>
        <rFont val="Noto Sans CJK SC"/>
        <family val="2"/>
      </rPr>
      <t xml:space="preserve">점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</si>
  <si>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강화할 멘탈 우선 선택 범위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강점 기준까지 남은 점수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</si>
  <si>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기준점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가까움 계산용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</si>
  <si>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기준점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가까움 계산용</t>
    </r>
    <r>
      <rPr>
        <b val="true"/>
        <sz val="11"/>
        <rFont val="Arial"/>
        <family val="0"/>
        <charset val="1"/>
      </rPr>
      <t xml:space="preserve">)</t>
    </r>
  </si>
  <si>
    <t xml:space="preserve">가까움 점수 스케일</t>
  </si>
  <si>
    <r>
      <rPr>
        <b val="true"/>
        <sz val="11"/>
        <rFont val="Arial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대 지표 강점 기준 </t>
    </r>
    <r>
      <rPr>
        <b val="true"/>
        <sz val="11"/>
        <rFont val="Arial"/>
        <family val="0"/>
        <charset val="1"/>
      </rPr>
      <t xml:space="preserve">(1~6</t>
    </r>
    <r>
      <rPr>
        <b val="true"/>
        <sz val="11"/>
        <rFont val="Noto Sans CJK SC"/>
        <family val="2"/>
      </rPr>
      <t xml:space="preserve">점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</si>
  <si>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※ 노란 셀만 바꾸면 전체가 재계산됩니다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포지션 분류는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</t>
    </r>
    <r>
      <rPr>
        <sz val="11"/>
        <rFont val="Arial"/>
        <family val="0"/>
        <charset val="1"/>
      </rPr>
      <t xml:space="preserve">(4.5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), "</t>
    </r>
    <r>
      <rPr>
        <sz val="11"/>
        <rFont val="Noto Sans CJK SC"/>
        <family val="2"/>
      </rPr>
      <t xml:space="preserve">나의 강점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다음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개월 강화할 멘탈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 지표</t>
    </r>
    <r>
      <rPr>
        <sz val="11"/>
        <rFont val="Arial"/>
        <family val="0"/>
        <charset val="1"/>
      </rPr>
      <t xml:space="preserve">(4.8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로 판정합니다</t>
    </r>
    <r>
      <rPr>
        <sz val="11"/>
        <rFont val="Arial"/>
        <family val="0"/>
        <charset val="1"/>
      </rPr>
      <t xml:space="preserve">.</t>
    </r>
  </si>
  <si>
    <t xml:space="preserve">구분</t>
  </si>
  <si>
    <t xml:space="preserve">구성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</si>
  <si>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압박 대처 </t>
    </r>
    <r>
      <rPr>
        <sz val="11"/>
        <rFont val="Arial"/>
        <family val="0"/>
        <charset val="1"/>
      </rPr>
      <t xml:space="preserve">(P)</t>
    </r>
  </si>
  <si>
    <r>
      <rPr>
        <sz val="11"/>
        <rFont val="Noto Sans CJK SC"/>
        <family val="2"/>
      </rPr>
      <t xml:space="preserve">경기긴장도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안정성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중 감정 조절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실패 후 회복력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</si>
  <si>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준비 주도 </t>
    </r>
    <r>
      <rPr>
        <sz val="11"/>
        <rFont val="Arial"/>
        <family val="0"/>
        <charset val="1"/>
      </rPr>
      <t xml:space="preserve">(R)</t>
    </r>
  </si>
  <si>
    <r>
      <rPr>
        <sz val="11"/>
        <rFont val="Noto Sans CJK SC"/>
        <family val="2"/>
      </rPr>
      <t xml:space="preserve">경기 준비 능력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자기주도 학습능력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이미지트레이닝 활용능력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</si>
  <si>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실수 회복 </t>
    </r>
    <r>
      <rPr>
        <sz val="11"/>
        <rFont val="Arial"/>
        <family val="0"/>
        <charset val="1"/>
      </rPr>
      <t xml:space="preserve">(I)</t>
    </r>
  </si>
  <si>
    <r>
      <rPr>
        <sz val="11"/>
        <rFont val="Noto Sans CJK SC"/>
        <family val="2"/>
      </rPr>
      <t xml:space="preserve">실수 후 회복력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외부평가 독립성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</si>
  <si>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 지표</t>
    </r>
  </si>
  <si>
    <r>
      <rPr>
        <sz val="11"/>
        <rFont val="Noto Sans CJK SC"/>
        <family val="2"/>
      </rPr>
      <t xml:space="preserve">경기긴장도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사회적 도움 활용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준비 능력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후 회복력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자기 통제력</t>
    </r>
  </si>
  <si>
    <r>
      <rPr>
        <b val="true"/>
        <sz val="11"/>
        <rFont val="Noto Sans CJK SC"/>
        <family val="2"/>
      </rPr>
      <t xml:space="preserve">포지션 가까움 </t>
    </r>
    <r>
      <rPr>
        <b val="true"/>
        <sz val="11"/>
        <rFont val="Arial"/>
        <family val="0"/>
        <charset val="1"/>
      </rPr>
      <t xml:space="preserve">(0~100)</t>
    </r>
  </si>
  <si>
    <r>
      <rPr>
        <sz val="11"/>
        <rFont val="Noto Sans CJK SC"/>
        <family val="2"/>
      </rPr>
      <t xml:space="preserve">가까움 </t>
    </r>
    <r>
      <rPr>
        <sz val="11"/>
        <rFont val="Arial"/>
        <family val="0"/>
        <charset val="1"/>
      </rPr>
      <t xml:space="preserve">= 100 × (1 − 3</t>
    </r>
    <r>
      <rPr>
        <sz val="11"/>
        <rFont val="Noto Sans CJK SC"/>
        <family val="2"/>
      </rPr>
      <t xml:space="preserve">축 평균 거리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스케일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가장 가까운 포지션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대표 포지션</t>
    </r>
    <r>
      <rPr>
        <sz val="11"/>
        <rFont val="Arial"/>
        <family val="0"/>
        <charset val="1"/>
      </rPr>
      <t xml:space="preserve">. 8</t>
    </r>
    <r>
      <rPr>
        <sz val="11"/>
        <rFont val="Noto Sans CJK SC"/>
        <family val="2"/>
      </rPr>
      <t xml:space="preserve">개 모두 표시해 한 포지션만 튀지 않게 함</t>
    </r>
    <r>
      <rPr>
        <sz val="11"/>
        <rFont val="Arial"/>
        <family val="0"/>
        <charset val="1"/>
      </rPr>
      <t xml:space="preserve">.</t>
    </r>
  </si>
  <si>
    <t xml:space="preserve">나의 강점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</si>
  <si>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 지표 중 강점 기준</t>
    </r>
    <r>
      <rPr>
        <sz val="11"/>
        <rFont val="Arial"/>
        <family val="0"/>
        <charset val="1"/>
      </rPr>
      <t xml:space="preserve">(4.8) </t>
    </r>
    <r>
      <rPr>
        <sz val="11"/>
        <rFont val="Noto Sans CJK SC"/>
        <family val="2"/>
      </rPr>
      <t xml:space="preserve">이상인 지표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하나도 없으면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 지표 중 가장 높은 지표를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가장 높은 지표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로 표시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</si>
  <si>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다음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개월 강화할 멘탈 </t>
    </r>
    <r>
      <rPr>
        <b val="true"/>
        <sz val="11"/>
        <rFont val="Arial"/>
        <family val="0"/>
        <charset val="1"/>
      </rPr>
      <t xml:space="preserve">(1</t>
    </r>
    <r>
      <rPr>
        <b val="true"/>
        <sz val="11"/>
        <rFont val="Noto Sans CJK SC"/>
        <family val="2"/>
      </rPr>
      <t xml:space="preserve">개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</si>
  <si>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강점 기준 미만 지표 중 ① 기준까지 </t>
    </r>
    <r>
      <rPr>
        <sz val="11"/>
        <rFont val="Arial"/>
        <family val="0"/>
        <charset val="1"/>
      </rPr>
      <t xml:space="preserve">0.3</t>
    </r>
    <r>
      <rPr>
        <sz val="11"/>
        <rFont val="Noto Sans CJK SC"/>
        <family val="2"/>
      </rPr>
      <t xml:space="preserve">점 이내인 지표가 있으면 가장 가까운 지표 ② 없으면 실수 후 회복력 → 경기 준비 능력 → 경기긴장도 → 자기 통제력 → 사회적 도움 활용 순</t>
    </r>
    <r>
      <rPr>
        <sz val="11"/>
        <rFont val="Arial"/>
        <family val="0"/>
        <charset val="1"/>
      </rPr>
      <t xml:space="preserve">. 5</t>
    </r>
    <r>
      <rPr>
        <sz val="11"/>
        <rFont val="Noto Sans CJK SC"/>
        <family val="2"/>
      </rPr>
      <t xml:space="preserve">개 모두 기준 이상이면 가장 낮은 지표를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심화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로 표시</t>
    </r>
    <r>
      <rPr>
        <sz val="11"/>
        <rFont val="Arial"/>
        <family val="0"/>
        <charset val="1"/>
      </rPr>
      <t xml:space="preserve">.</t>
    </r>
  </si>
  <si>
    <t xml:space="preserve">알파벳</t>
  </si>
  <si>
    <r>
      <rPr>
        <sz val="11"/>
        <rFont val="Arial"/>
        <family val="0"/>
        <charset val="1"/>
      </rPr>
      <t xml:space="preserve">A~H</t>
    </r>
    <r>
      <rPr>
        <sz val="11"/>
        <rFont val="Noto Sans CJK SC"/>
        <family val="2"/>
      </rPr>
      <t xml:space="preserve">는 이름표일 뿐 순서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우열이 없습니다</t>
    </r>
    <r>
      <rPr>
        <sz val="11"/>
        <rFont val="Arial"/>
        <family val="0"/>
        <charset val="1"/>
      </rPr>
      <t xml:space="preserve">. A~F</t>
    </r>
    <r>
      <rPr>
        <sz val="11"/>
        <rFont val="Noto Sans CJK SC"/>
        <family val="2"/>
      </rPr>
      <t xml:space="preserve">는 강점 기준으로 원형 배치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준비 → 준비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압박 → 압박 → 압박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회복 → 회복 → 회복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준비</t>
    </r>
    <r>
      <rPr>
        <sz val="11"/>
        <rFont val="Arial"/>
        <family val="0"/>
        <charset val="1"/>
      </rPr>
      <t xml:space="preserve">), G·H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 공통형</t>
    </r>
    <r>
      <rPr>
        <sz val="11"/>
        <rFont val="Arial"/>
        <family val="0"/>
        <charset val="1"/>
      </rPr>
      <t xml:space="preserve">.</t>
    </r>
  </si>
  <si>
    <t xml:space="preserve">닮은 선수</t>
  </si>
  <si>
    <r>
      <rPr>
        <sz val="11"/>
        <rFont val="Noto Sans CJK SC"/>
        <family val="2"/>
      </rPr>
      <t xml:space="preserve">공개된 경기 장면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인터뷰로 널리 알려진 모습을 바탕으로 한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스타일 비유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이며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해당 선수의 실제 심리 측정 결과가 아닙니다</t>
    </r>
    <r>
      <rPr>
        <sz val="11"/>
        <rFont val="Arial"/>
        <family val="0"/>
        <charset val="1"/>
      </rPr>
      <t xml:space="preserve">.</t>
    </r>
  </si>
  <si>
    <t xml:space="preserve">유의사항</t>
  </si>
  <si>
    <r>
      <rPr>
        <sz val="11"/>
        <rFont val="Noto Sans CJK SC"/>
        <family val="2"/>
      </rPr>
      <t xml:space="preserve">멘탈 포지션은 성격 판정이 아니라 측정 시점의 멘탈 사용 방식입니다</t>
    </r>
    <r>
      <rPr>
        <sz val="11"/>
        <rFont val="Arial"/>
        <family val="0"/>
        <charset val="1"/>
      </rPr>
      <t xml:space="preserve">. 3</t>
    </r>
    <r>
      <rPr>
        <sz val="11"/>
        <rFont val="Noto Sans CJK SC"/>
        <family val="2"/>
      </rPr>
      <t xml:space="preserve">개월 재측정 시 이동할 수 있으며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의료적 판단 목적이 아닙니다</t>
    </r>
    <r>
      <rPr>
        <sz val="11"/>
        <rFont val="Arial"/>
        <family val="0"/>
        <charset val="1"/>
      </rPr>
      <t xml:space="preserve">.</t>
    </r>
  </si>
  <si>
    <t xml:space="preserve">선수 선택 ▶</t>
  </si>
  <si>
    <t xml:space="preserve">이준후</t>
  </si>
  <si>
    <r>
      <rPr>
        <i val="true"/>
        <sz val="11"/>
        <color rgb="FF888888"/>
        <rFont val="Noto Sans CJK SC"/>
        <family val="2"/>
      </rPr>
      <t xml:space="preserve">※ 동명이인이 있으면 첫 번째 선수가 표시됩니다</t>
    </r>
    <r>
      <rPr>
        <i val="true"/>
        <sz val="11"/>
        <color rgb="FF888888"/>
        <rFont val="Arial"/>
        <family val="0"/>
        <charset val="1"/>
      </rPr>
      <t xml:space="preserve">.</t>
    </r>
  </si>
  <si>
    <t xml:space="preserve">소속팀</t>
  </si>
  <si>
    <t xml:space="preserve">측정일</t>
  </si>
  <si>
    <t xml:space="preserve">대표 포지션</t>
  </si>
  <si>
    <t xml:space="preserve">포지션명</t>
  </si>
  <si>
    <r>
      <rPr>
        <b val="true"/>
        <sz val="11"/>
        <rFont val="Noto Sans CJK SC"/>
        <family val="2"/>
      </rPr>
      <t xml:space="preserve">다음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개월 강화할 멘탈</t>
    </r>
  </si>
  <si>
    <r>
      <rPr>
        <b val="true"/>
        <sz val="11"/>
        <rFont val="Arial"/>
        <family val="0"/>
        <charset val="1"/>
      </rPr>
      <t xml:space="preserve">[5</t>
    </r>
    <r>
      <rPr>
        <b val="true"/>
        <sz val="11"/>
        <rFont val="Noto Sans CJK SC"/>
        <family val="2"/>
      </rPr>
      <t xml:space="preserve">대 지표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경기긴장도</t>
    </r>
  </si>
  <si>
    <r>
      <rPr>
        <b val="true"/>
        <sz val="11"/>
        <rFont val="Arial"/>
        <family val="0"/>
        <charset val="1"/>
      </rPr>
      <t xml:space="preserve">[5</t>
    </r>
    <r>
      <rPr>
        <b val="true"/>
        <sz val="11"/>
        <rFont val="Noto Sans CJK SC"/>
        <family val="2"/>
      </rPr>
      <t xml:space="preserve">대 지표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사회적 도움 활용</t>
    </r>
  </si>
  <si>
    <r>
      <rPr>
        <b val="true"/>
        <sz val="11"/>
        <rFont val="Arial"/>
        <family val="0"/>
        <charset val="1"/>
      </rPr>
      <t xml:space="preserve">[5</t>
    </r>
    <r>
      <rPr>
        <b val="true"/>
        <sz val="11"/>
        <rFont val="Noto Sans CJK SC"/>
        <family val="2"/>
      </rPr>
      <t xml:space="preserve">대 지표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경기 준비 능력</t>
    </r>
  </si>
  <si>
    <r>
      <rPr>
        <b val="true"/>
        <sz val="11"/>
        <rFont val="Arial"/>
        <family val="0"/>
        <charset val="1"/>
      </rPr>
      <t xml:space="preserve">[5</t>
    </r>
    <r>
      <rPr>
        <b val="true"/>
        <sz val="11"/>
        <rFont val="Noto Sans CJK SC"/>
        <family val="2"/>
      </rPr>
      <t xml:space="preserve">대 지표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실수 후 회복력</t>
    </r>
  </si>
  <si>
    <r>
      <rPr>
        <b val="true"/>
        <sz val="11"/>
        <rFont val="Arial"/>
        <family val="0"/>
        <charset val="1"/>
      </rPr>
      <t xml:space="preserve">[5</t>
    </r>
    <r>
      <rPr>
        <b val="true"/>
        <sz val="11"/>
        <rFont val="Noto Sans CJK SC"/>
        <family val="2"/>
      </rPr>
      <t xml:space="preserve">대 지표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자기 통제력</t>
    </r>
  </si>
  <si>
    <r>
      <rPr>
        <b val="true"/>
        <sz val="12"/>
        <rFont val="Noto Sans CJK SC"/>
        <family val="2"/>
      </rPr>
      <t xml:space="preserve">포지션 가까움 </t>
    </r>
    <r>
      <rPr>
        <b val="true"/>
        <sz val="12"/>
        <rFont val="Arial"/>
        <family val="0"/>
        <charset val="1"/>
      </rPr>
      <t xml:space="preserve">(8</t>
    </r>
    <r>
      <rPr>
        <b val="true"/>
        <sz val="12"/>
        <rFont val="Noto Sans CJK SC"/>
        <family val="2"/>
      </rPr>
      <t xml:space="preserve">개 전체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높은 순</t>
    </r>
    <r>
      <rPr>
        <b val="true"/>
        <sz val="12"/>
        <rFont val="Arial"/>
        <family val="0"/>
        <charset val="1"/>
      </rPr>
      <t xml:space="preserve">)</t>
    </r>
  </si>
  <si>
    <t xml:space="preserve">순서</t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</si>
  <si>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(0~100)</t>
    </r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</si>
  <si>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</si>
  <si>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</si>
  <si>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</si>
  <si>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</si>
  <si>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</si>
  <si>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</si>
  <si>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</si>
  <si>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</si>
  <si>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영문명</t>
  </si>
  <si>
    <r>
      <rPr>
        <b val="true"/>
        <sz val="11"/>
        <color rgb="FFFFFFFF"/>
        <rFont val="Noto Sans CJK SC"/>
        <family val="2"/>
      </rPr>
      <t xml:space="preserve">코드
</t>
    </r>
    <r>
      <rPr>
        <b val="true"/>
        <sz val="11"/>
        <color rgb="FFFFFFFF"/>
        <rFont val="Arial"/>
        <family val="0"/>
        <charset val="1"/>
      </rPr>
      <t xml:space="preserve">(P-R-I)</t>
    </r>
  </si>
  <si>
    <t xml:space="preserve">강점 축</t>
  </si>
  <si>
    <t xml:space="preserve">인원</t>
  </si>
  <si>
    <t xml:space="preserve">비율</t>
  </si>
  <si>
    <t xml:space="preserve">한 줄 설명</t>
  </si>
  <si>
    <t xml:space="preserve">장점</t>
  </si>
  <si>
    <t xml:space="preserve">성장 포인트</t>
  </si>
  <si>
    <t xml:space="preserve">코칭 포인트</t>
  </si>
  <si>
    <r>
      <rPr>
        <b val="true"/>
        <sz val="11"/>
        <color rgb="FFFFFFFF"/>
        <rFont val="Noto Sans CJK SC"/>
        <family val="2"/>
      </rPr>
      <t xml:space="preserve">닮은 해외 선수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스타일 비유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</si>
  <si>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선수 비유 이유</t>
  </si>
  <si>
    <r>
      <rPr>
        <b val="true"/>
        <sz val="11"/>
        <color rgb="FFFFFFFF"/>
        <rFont val="Noto Sans CJK SC"/>
        <family val="2"/>
      </rPr>
      <t xml:space="preserve">기준점 </t>
    </r>
    <r>
      <rPr>
        <b val="true"/>
        <sz val="11"/>
        <color rgb="FFFFFFFF"/>
        <rFont val="Arial"/>
        <family val="0"/>
        <charset val="1"/>
      </rPr>
      <t xml:space="preserve">P</t>
    </r>
  </si>
  <si>
    <r>
      <rPr>
        <b val="true"/>
        <sz val="11"/>
        <color rgb="FFFFFFFF"/>
        <rFont val="Noto Sans CJK SC"/>
        <family val="2"/>
      </rPr>
      <t xml:space="preserve">기준점 </t>
    </r>
    <r>
      <rPr>
        <b val="true"/>
        <sz val="11"/>
        <color rgb="FFFFFFFF"/>
        <rFont val="Arial"/>
        <family val="0"/>
        <charset val="1"/>
      </rPr>
      <t xml:space="preserve">R</t>
    </r>
  </si>
  <si>
    <r>
      <rPr>
        <b val="true"/>
        <sz val="11"/>
        <color rgb="FFFFFFFF"/>
        <rFont val="Noto Sans CJK SC"/>
        <family val="2"/>
      </rPr>
      <t xml:space="preserve">기준점 </t>
    </r>
    <r>
      <rPr>
        <b val="true"/>
        <sz val="11"/>
        <color rgb="FFFFFFFF"/>
        <rFont val="Arial"/>
        <family val="0"/>
        <charset val="1"/>
      </rPr>
      <t xml:space="preserve">I</t>
    </r>
  </si>
  <si>
    <t xml:space="preserve">섬세한 준비형</t>
  </si>
  <si>
    <t xml:space="preserve">Detail Preparer</t>
  </si>
  <si>
    <t xml:space="preserve">LHL</t>
  </si>
  <si>
    <t xml:space="preserve">준비 주도</t>
  </si>
  <si>
    <r>
      <rPr>
        <sz val="11"/>
        <rFont val="Noto Sans CJK SC"/>
        <family val="2"/>
      </rPr>
      <t xml:space="preserve">누구보다 꼼꼼히 준비하고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코칭을 빠르게 흡수하는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</si>
  <si>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계획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분석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이미지트레이닝 활용이 뛰어남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코칭 수용도가 높아 연습에서 개선 속도가 빠름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훈련 태도가 성실함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</si>
  <si>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연습에서 보여준 기량을 경기에서 그대로 꺼내는 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한 번이 다음 플레이로 이어지지 않게 끊는 힘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</si>
  <si>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실수했을 때 할 행동까지 준비 계획에 넣기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결과와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나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를 분리해 이야기하기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작은 성공 경기 경험 설계</t>
    </r>
  </si>
  <si>
    <r>
      <rPr>
        <b val="true"/>
        <sz val="11"/>
        <rFont val="Noto Sans CJK SC"/>
        <family val="2"/>
      </rPr>
      <t xml:space="preserve">로베르트 레반도프스키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제임스 밀너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마르틴 외데고르</t>
    </r>
  </si>
  <si>
    <r>
      <rPr>
        <sz val="11"/>
        <rFont val="Noto Sans CJK SC"/>
        <family val="2"/>
      </rPr>
      <t xml:space="preserve">식단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훈련 루틴을 철저히 관리하는 준비의 대명사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레반도프스키</t>
    </r>
    <r>
      <rPr>
        <sz val="11"/>
        <rFont val="Arial"/>
        <family val="0"/>
        <charset val="1"/>
      </rPr>
      <t xml:space="preserve">), 30</t>
    </r>
    <r>
      <rPr>
        <sz val="11"/>
        <rFont val="Noto Sans CJK SC"/>
        <family val="2"/>
      </rPr>
      <t xml:space="preserve">대 후반까지 이어진 자기관리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밀너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어린 나이 기대와 시행착오를 꾸준한 준비로 이겨낸 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외데고르</t>
    </r>
    <r>
      <rPr>
        <sz val="11"/>
        <rFont val="Arial"/>
        <family val="0"/>
        <charset val="1"/>
      </rPr>
      <t xml:space="preserve">)</t>
    </r>
  </si>
  <si>
    <t xml:space="preserve">책임감 설계자형</t>
  </si>
  <si>
    <t xml:space="preserve">Responsible Planner</t>
  </si>
  <si>
    <t xml:space="preserve">HHL</t>
  </si>
  <si>
    <r>
      <rPr>
        <sz val="11"/>
        <rFont val="Noto Sans CJK SC"/>
        <family val="2"/>
      </rPr>
      <t xml:space="preserve">준비 주도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압박 대처</t>
    </r>
  </si>
  <si>
    <r>
      <rPr>
        <sz val="11"/>
        <rFont val="Noto Sans CJK SC"/>
        <family val="2"/>
      </rPr>
      <t xml:space="preserve">경기 중 침착하고 준비도 철저한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책임감으로 팀을 받치는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</si>
  <si>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준비 주도가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포지션 중 가장 높은 편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중 감정이 안정적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훈련 태도가 가장 성실한 그룹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</si>
  <si>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후 주변 평가에 덜 흔들리는 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완벽하지 않아도 괜찮다는 여유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</si>
  <si>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결과보다 과정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준비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먼저 칭찬하기
</t>
    </r>
    <r>
      <rPr>
        <sz val="11"/>
        <rFont val="Arial"/>
        <family val="0"/>
        <charset val="1"/>
      </rPr>
      <t xml:space="preserve">· 1~2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실수 리셋</t>
    </r>
    <r>
      <rPr>
        <sz val="11"/>
        <rFont val="Arial"/>
        <family val="0"/>
        <charset val="1"/>
      </rPr>
      <t xml:space="preserve">" </t>
    </r>
    <r>
      <rPr>
        <sz val="11"/>
        <rFont val="Noto Sans CJK SC"/>
        <family val="2"/>
      </rPr>
      <t xml:space="preserve">신호 동작 만들기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스스로 잘한 점부터 말하게 하기</t>
    </r>
  </si>
  <si>
    <r>
      <rPr>
        <b val="true"/>
        <sz val="11"/>
        <rFont val="Noto Sans CJK SC"/>
        <family val="2"/>
      </rPr>
      <t xml:space="preserve">해리 케인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토니 크로스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필립 람</t>
    </r>
  </si>
  <si>
    <r>
      <rPr>
        <sz val="11"/>
        <rFont val="Noto Sans CJK SC"/>
        <family val="2"/>
      </rPr>
      <t xml:space="preserve">킥 루틴과 몸 관리를 치밀하게 설계하는 스타일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케인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큰 경기에서도 흔들림 없는 차분한 경기 운영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크로스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분석적이고 원칙을 지키는 주장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람</t>
    </r>
    <r>
      <rPr>
        <sz val="11"/>
        <rFont val="Arial"/>
        <family val="0"/>
        <charset val="1"/>
      </rPr>
      <t xml:space="preserve">)</t>
    </r>
  </si>
  <si>
    <t xml:space="preserve">침착한 감각형</t>
  </si>
  <si>
    <t xml:space="preserve">Calm Instinct</t>
  </si>
  <si>
    <t xml:space="preserve">HLL</t>
  </si>
  <si>
    <t xml:space="preserve">압박 대처</t>
  </si>
  <si>
    <r>
      <rPr>
        <sz val="11"/>
        <rFont val="Noto Sans CJK SC"/>
        <family val="2"/>
      </rPr>
      <t xml:space="preserve">긴장되는 순간에도 겉으로 흔들리지 않는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차분함이 무기인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</si>
  <si>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압박 상황에서 크게 무너지지 않는 침착함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주변의 도움과 조언을 잘 받아들임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</si>
  <si>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나만의 준비 루틴 만들기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실수를 속으로 쌓아두지 않고 털어내기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훈련 동기 꾸준히 유지하기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</si>
  <si>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침착함을 강점으로 먼저 인정하기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작은 목표를 자주 달성하게 하기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표현하지 않는 감정을 꺼내는 </t>
    </r>
    <r>
      <rPr>
        <sz val="11"/>
        <rFont val="Arial"/>
        <family val="0"/>
        <charset val="1"/>
      </rPr>
      <t xml:space="preserve">1:1 </t>
    </r>
    <r>
      <rPr>
        <sz val="11"/>
        <rFont val="Noto Sans CJK SC"/>
        <family val="2"/>
      </rPr>
      <t xml:space="preserve">대화</t>
    </r>
  </si>
  <si>
    <r>
      <rPr>
        <b val="true"/>
        <sz val="11"/>
        <rFont val="Noto Sans CJK SC"/>
        <family val="2"/>
      </rPr>
      <t xml:space="preserve">안드레아 피를로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디미타르 베르바토프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메수트 외질</t>
    </r>
  </si>
  <si>
    <r>
      <rPr>
        <sz val="11"/>
        <rFont val="Noto Sans CJK SC"/>
        <family val="2"/>
      </rPr>
      <t xml:space="preserve">결승 무대에서도 여유로운 패스와 파넨카킥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피를로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서두르지 않는 볼 터치와 여유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베르바토프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감각적인 시야와 차분한 플레이메이킹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외질</t>
    </r>
    <r>
      <rPr>
        <sz val="11"/>
        <rFont val="Arial"/>
        <family val="0"/>
        <charset val="1"/>
      </rPr>
      <t xml:space="preserve">)</t>
    </r>
  </si>
  <si>
    <t xml:space="preserve">실전 승부사형</t>
  </si>
  <si>
    <t xml:space="preserve">Game-Day Competitor</t>
  </si>
  <si>
    <t xml:space="preserve">HLH</t>
  </si>
  <si>
    <r>
      <rPr>
        <sz val="11"/>
        <rFont val="Noto Sans CJK SC"/>
        <family val="2"/>
      </rPr>
      <t xml:space="preserve">압박 대처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회복</t>
    </r>
  </si>
  <si>
    <r>
      <rPr>
        <sz val="11"/>
        <rFont val="Noto Sans CJK SC"/>
        <family val="2"/>
      </rPr>
      <t xml:space="preserve">큰 무대일수록 강하고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실수도 금방 털어내는 배짱의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</si>
  <si>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승부처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실전 무대에 강함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남의 시선에 흔들리지 않는 배짱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팀 내 적응력과 분위기 메이킹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</si>
  <si>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감각을 루틴으로 만드는 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경기 전 준비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경기 후 복기</t>
    </r>
    <r>
      <rPr>
        <sz val="11"/>
        <rFont val="Arial"/>
        <family val="0"/>
        <charset val="1"/>
      </rPr>
      <t xml:space="preserve">)
· </t>
    </r>
    <r>
      <rPr>
        <sz val="11"/>
        <rFont val="Noto Sans CJK SC"/>
        <family val="2"/>
      </rPr>
      <t xml:space="preserve">컨디션에 따른 기복 줄이기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</si>
  <si>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짧은 경기 전 루틴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가지 정하기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줄 기록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좋았던 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아쉬운 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다음 목표</t>
    </r>
    <r>
      <rPr>
        <sz val="11"/>
        <rFont val="Arial"/>
        <family val="0"/>
        <charset val="1"/>
      </rPr>
      <t xml:space="preserve">)
· </t>
    </r>
    <r>
      <rPr>
        <sz val="11"/>
        <rFont val="Noto Sans CJK SC"/>
        <family val="2"/>
      </rPr>
      <t xml:space="preserve">감각을 말로 설명해보게 하기</t>
    </r>
  </si>
  <si>
    <r>
      <rPr>
        <b val="true"/>
        <sz val="11"/>
        <rFont val="Noto Sans CJK SC"/>
        <family val="2"/>
      </rPr>
      <t xml:space="preserve">즐라탄 이브라히모비치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호나우지뉴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디에고 마라도나</t>
    </r>
  </si>
  <si>
    <r>
      <rPr>
        <sz val="11"/>
        <rFont val="Noto Sans CJK SC"/>
        <family val="2"/>
      </rPr>
      <t xml:space="preserve">어떤 무대에서도 자신감이 넘치는 존재감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즐라탄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즐기면서 결정적 순간을 만드는 창의성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호나우지뉴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월드컵이라는 최대 무대에서 빛난 승부 감각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마라도나</t>
    </r>
    <r>
      <rPr>
        <sz val="11"/>
        <rFont val="Arial"/>
        <family val="0"/>
        <charset val="1"/>
      </rPr>
      <t xml:space="preserve">)</t>
    </r>
  </si>
  <si>
    <t xml:space="preserve">오뚝이 회복형</t>
  </si>
  <si>
    <t xml:space="preserve">Bounce-Back</t>
  </si>
  <si>
    <t xml:space="preserve">LLH</t>
  </si>
  <si>
    <t xml:space="preserve">실수 회복</t>
  </si>
  <si>
    <r>
      <rPr>
        <sz val="11"/>
        <rFont val="Noto Sans CJK SC"/>
        <family val="2"/>
      </rPr>
      <t xml:space="preserve">넘어져도 금방 다시 일어나는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회복력과 긍정이 무기인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</si>
  <si>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실패를 오래 끌지 않는 회복력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주변 시선에 덜 위축됨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도전 자체를 즐기는 긍정성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</si>
  <si>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긴장을 준비로 바꾸는 힘
</t>
    </r>
    <r>
      <rPr>
        <sz val="11"/>
        <rFont val="Arial"/>
        <family val="0"/>
        <charset val="1"/>
      </rPr>
      <t xml:space="preserve">· "</t>
    </r>
    <r>
      <rPr>
        <sz val="11"/>
        <rFont val="Noto Sans CJK SC"/>
        <family val="2"/>
      </rPr>
      <t xml:space="preserve">괜찮아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로 넘기지 않고 원인도 함께 돌아보기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컨디션 관리 습관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</si>
  <si>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회복력을 칭찬하되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왜 긴장했는지</t>
    </r>
    <r>
      <rPr>
        <sz val="11"/>
        <rFont val="Arial"/>
        <family val="0"/>
        <charset val="1"/>
      </rPr>
      <t xml:space="preserve">" </t>
    </r>
    <r>
      <rPr>
        <sz val="11"/>
        <rFont val="Noto Sans CJK SC"/>
        <family val="2"/>
      </rPr>
      <t xml:space="preserve">함께 돌아보기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전 준비 체크리스트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장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수면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컨디션 루틴 연계</t>
    </r>
  </si>
  <si>
    <r>
      <rPr>
        <b val="true"/>
        <sz val="11"/>
        <rFont val="Noto Sans CJK SC"/>
        <family val="2"/>
      </rPr>
      <t xml:space="preserve">올리비에 지루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디에고 포를란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라다멜 팔카오</t>
    </r>
  </si>
  <si>
    <r>
      <rPr>
        <sz val="11"/>
        <rFont val="Noto Sans CJK SC"/>
        <family val="2"/>
      </rPr>
      <t xml:space="preserve">많은 비판 속에서도 묵묵히 월드컵 우승까지 간 꾸준함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지루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잉글랜드에서 고전한 뒤 월드컵 골든볼로 재도약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포를란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긴 부상 공백 후 다시 돌아온 복귀 스토리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팔카오</t>
    </r>
    <r>
      <rPr>
        <sz val="11"/>
        <rFont val="Arial"/>
        <family val="0"/>
        <charset val="1"/>
      </rPr>
      <t xml:space="preserve">)</t>
    </r>
  </si>
  <si>
    <t xml:space="preserve">성실한 도전자형</t>
  </si>
  <si>
    <t xml:space="preserve">Steady Challenger</t>
  </si>
  <si>
    <t xml:space="preserve">LHH</t>
  </si>
  <si>
    <r>
      <rPr>
        <sz val="11"/>
        <rFont val="Noto Sans CJK SC"/>
        <family val="2"/>
      </rPr>
      <t xml:space="preserve">준비 주도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회복</t>
    </r>
  </si>
  <si>
    <r>
      <rPr>
        <sz val="11"/>
        <rFont val="Noto Sans CJK SC"/>
        <family val="2"/>
      </rPr>
      <t xml:space="preserve">긴장이 찾아와도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준비와 노력으로 스스로 이겨내는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</si>
  <si>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"</t>
    </r>
    <r>
      <rPr>
        <sz val="11"/>
        <rFont val="Noto Sans CJK SC"/>
        <family val="2"/>
      </rPr>
      <t xml:space="preserve">노력으로 극복하는</t>
    </r>
    <r>
      <rPr>
        <sz val="11"/>
        <rFont val="Arial"/>
        <family val="0"/>
        <charset val="1"/>
      </rPr>
      <t xml:space="preserve">" </t>
    </r>
    <r>
      <rPr>
        <sz val="11"/>
        <rFont val="Noto Sans CJK SC"/>
        <family val="2"/>
      </rPr>
      <t xml:space="preserve">준비력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남의 평가보다 자기 기준을 중시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좌절 후 다시 일어나는 힘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</si>
  <si>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중요한 경기에서 연습만큼 발휘하는 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긴장이 몸의 굳음으로 이어지지 않게 하기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</si>
  <si>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긴장을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준비됐다는 신호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로 바꿔 말하기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연습 중 압박 상황 시뮬레이션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경기 직전 짧은 호흡 루틴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참고 수준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</si>
  <si>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제이미 바디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은골로 캉테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박지성</t>
    </r>
  </si>
  <si>
    <r>
      <rPr>
        <sz val="11"/>
        <rFont val="Noto Sans CJK SC"/>
        <family val="2"/>
      </rPr>
      <t xml:space="preserve">하부리그에서 노력으로 프리미어리그 우승까지 오른 스토리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바디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누구보다 많이 뛰는 성실함과 겸손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캉테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끊임없는 노력으로 유럽 빅클럽에서 인정받은 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박지성</t>
    </r>
    <r>
      <rPr>
        <sz val="11"/>
        <rFont val="Arial"/>
        <family val="0"/>
        <charset val="1"/>
      </rPr>
      <t xml:space="preserve">)</t>
    </r>
  </si>
  <si>
    <t xml:space="preserve">스펀지 흡수형</t>
  </si>
  <si>
    <t xml:space="preserve">Sponge</t>
  </si>
  <si>
    <t xml:space="preserve">LLL</t>
  </si>
  <si>
    <r>
      <rPr>
        <sz val="11"/>
        <rFont val="Noto Sans CJK SC"/>
        <family val="2"/>
      </rPr>
      <t xml:space="preserve">보조 강점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도움 수용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태도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</si>
  <si>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코칭과 경험을 빠르게 흡수하며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가장 큰 폭의 변화를 만들 수 있는 출발점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</si>
  <si>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주변의 도움과 조언을 받아들일 준비가 되어 있음
</t>
    </r>
    <r>
      <rPr>
        <sz val="11"/>
        <rFont val="Arial"/>
        <family val="0"/>
        <charset val="1"/>
      </rPr>
      <t xml:space="preserve">· 3</t>
    </r>
    <r>
      <rPr>
        <sz val="11"/>
        <rFont val="Noto Sans CJK SC"/>
        <family val="2"/>
      </rPr>
      <t xml:space="preserve">개월 단위 변화가 가장 뚜렷하게 보일 수 있음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아직 형성기라 어떤 방향으로든 성장 여지가 큼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</si>
  <si>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한 번에 한 축씩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실수 회복 → 준비 주도 → 압박 대처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작은 성공 경험으로 자신감 쌓기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</si>
  <si>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목표는 한 번에 하나만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결과보다 시도에 대한 피드백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보호자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지도자와 같은 메시지 공유</t>
    </r>
  </si>
  <si>
    <r>
      <rPr>
        <b val="true"/>
        <sz val="11"/>
        <rFont val="Noto Sans CJK SC"/>
        <family val="2"/>
      </rPr>
      <t xml:space="preserve">디디에 드로그바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앙투안 그리즈만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모하메드 살라</t>
    </r>
  </si>
  <si>
    <r>
      <rPr>
        <sz val="11"/>
        <rFont val="Noto Sans CJK SC"/>
        <family val="2"/>
      </rPr>
      <t xml:space="preserve">늦은 나이에 프로에 데뷔해 경험을 흡수하며 세계적 공격수로 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드로그바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작은 체격으로 여러 유스팀에서 탈락한 뒤 크게 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그리즈만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첫 빅클럽 도전 후 경험을 쌓아 정상급으로 재도약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살라</t>
    </r>
    <r>
      <rPr>
        <sz val="11"/>
        <rFont val="Arial"/>
        <family val="0"/>
        <charset val="1"/>
      </rPr>
      <t xml:space="preserve">)</t>
    </r>
  </si>
  <si>
    <t xml:space="preserve">올라운드 밸런스형</t>
  </si>
  <si>
    <t xml:space="preserve">All-Round Balancer</t>
  </si>
  <si>
    <t xml:space="preserve">HHH</t>
  </si>
  <si>
    <r>
      <rPr>
        <sz val="11"/>
        <rFont val="Noto Sans CJK SC"/>
        <family val="2"/>
      </rPr>
      <t xml:space="preserve">압박 대처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준비 주도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실수 회복</t>
    </r>
  </si>
  <si>
    <r>
      <rPr>
        <sz val="11"/>
        <rFont val="Noto Sans CJK SC"/>
        <family val="2"/>
      </rPr>
      <t xml:space="preserve">압박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준비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회복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축이 고르게 받쳐주는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균형이 무기인 포지션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</si>
  <si>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큰 경기에서 평소 기량 발휘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스스로 목표와 루틴을 세움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팀 분위기를 잡아주는 중심 역할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</si>
  <si>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이미 고른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축 위에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심화 목표</t>
    </r>
    <r>
      <rPr>
        <sz val="11"/>
        <rFont val="Arial"/>
        <family val="0"/>
        <charset val="1"/>
      </rPr>
      <t xml:space="preserve">" </t>
    </r>
    <r>
      <rPr>
        <sz val="11"/>
        <rFont val="Noto Sans CJK SC"/>
        <family val="2"/>
      </rPr>
      <t xml:space="preserve">세우기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첫 큰 좌절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부상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대비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커지는 기대에 대한 부담 관리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</si>
  <si>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더 높은 수준의 도전 과제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후배 멘토 등 리더 역할
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좌절 상황을 미리 이야기해보기</t>
    </r>
  </si>
  <si>
    <r>
      <rPr>
        <b val="true"/>
        <sz val="11"/>
        <rFont val="Noto Sans CJK SC"/>
        <family val="2"/>
      </rPr>
      <t xml:space="preserve">크리스티아누 호날두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루카 모드리치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버질 반 다이크</t>
    </r>
  </si>
  <si>
    <r>
      <rPr>
        <sz val="11"/>
        <rFont val="Noto Sans CJK SC"/>
        <family val="2"/>
      </rPr>
      <t xml:space="preserve">철저한 자기관리와 결정적 순간의 존재감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호날두</t>
    </r>
    <r>
      <rPr>
        <sz val="11"/>
        <rFont val="Arial"/>
        <family val="0"/>
        <charset val="1"/>
      </rPr>
      <t xml:space="preserve">), 30</t>
    </r>
    <r>
      <rPr>
        <sz val="11"/>
        <rFont val="Noto Sans CJK SC"/>
        <family val="2"/>
      </rPr>
      <t xml:space="preserve">대 후반까지 이어진 꾸준함과 리더십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모드리치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어떤 공격수 앞에서도 침착한 수비 리더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 다이크</t>
    </r>
    <r>
      <rPr>
        <sz val="11"/>
        <rFont val="Arial"/>
        <family val="0"/>
        <charset val="1"/>
      </rPr>
      <t xml:space="preserve">)</t>
    </r>
  </si>
  <si>
    <t xml:space="preserve">합계</t>
  </si>
  <si>
    <t xml:space="preserve">MGI</t>
  </si>
  <si>
    <r>
      <rPr>
        <b val="true"/>
        <sz val="11"/>
        <color rgb="FFFFFFFF"/>
        <rFont val="Noto Sans CJK SC"/>
        <family val="2"/>
      </rPr>
      <t xml:space="preserve">압박 대처 </t>
    </r>
    <r>
      <rPr>
        <b val="true"/>
        <sz val="11"/>
        <color rgb="FFFFFFFF"/>
        <rFont val="Arial"/>
        <family val="0"/>
        <charset val="1"/>
      </rPr>
      <t xml:space="preserve">P</t>
    </r>
  </si>
  <si>
    <r>
      <rPr>
        <b val="true"/>
        <sz val="11"/>
        <color rgb="FFFFFFFF"/>
        <rFont val="Noto Sans CJK SC"/>
        <family val="2"/>
      </rPr>
      <t xml:space="preserve">준비 주도 </t>
    </r>
    <r>
      <rPr>
        <b val="true"/>
        <sz val="11"/>
        <color rgb="FFFFFFFF"/>
        <rFont val="Arial"/>
        <family val="0"/>
        <charset val="1"/>
      </rPr>
      <t xml:space="preserve">R</t>
    </r>
  </si>
  <si>
    <r>
      <rPr>
        <b val="true"/>
        <sz val="11"/>
        <color rgb="FFFFFFFF"/>
        <rFont val="Noto Sans CJK SC"/>
        <family val="2"/>
      </rPr>
      <t xml:space="preserve">실수 회복 </t>
    </r>
    <r>
      <rPr>
        <b val="true"/>
        <sz val="11"/>
        <color rgb="FFFFFFFF"/>
        <rFont val="Arial"/>
        <family val="0"/>
        <charset val="1"/>
      </rPr>
      <t xml:space="preserve">I</t>
    </r>
  </si>
  <si>
    <t xml:space="preserve">경기긴장도</t>
  </si>
  <si>
    <t xml:space="preserve">경기 안정성</t>
  </si>
  <si>
    <t xml:space="preserve">경기 중 감정 조절</t>
  </si>
  <si>
    <t xml:space="preserve">실패 후 회복력</t>
  </si>
  <si>
    <t xml:space="preserve">경기 준비 능력</t>
  </si>
  <si>
    <t xml:space="preserve">자기주도 학습능력</t>
  </si>
  <si>
    <t xml:space="preserve">이미지트레이닝 활용능력</t>
  </si>
  <si>
    <t xml:space="preserve">실수 후 회복력</t>
  </si>
  <si>
    <t xml:space="preserve">외부평가 독립성</t>
  </si>
  <si>
    <t xml:space="preserve">자기 통제력</t>
  </si>
  <si>
    <t xml:space="preserve">사회적 도움 활용</t>
  </si>
  <si>
    <t xml:space="preserve">훈련 태도 지수</t>
  </si>
  <si>
    <t xml:space="preserve">전체 평균</t>
  </si>
  <si>
    <t xml:space="preserve">선수명</t>
  </si>
  <si>
    <t xml:space="preserve">성별</t>
  </si>
  <si>
    <r>
      <rPr>
        <b val="true"/>
        <sz val="11"/>
        <color rgb="FFFFFFFF"/>
        <rFont val="Arial"/>
        <family val="0"/>
        <charset val="1"/>
      </rPr>
      <t xml:space="preserve">PHV </t>
    </r>
    <r>
      <rPr>
        <b val="true"/>
        <sz val="11"/>
        <color rgb="FFFFFFFF"/>
        <rFont val="Noto Sans CJK SC"/>
        <family val="2"/>
      </rPr>
      <t xml:space="preserve">단계</t>
    </r>
  </si>
  <si>
    <t xml:space="preserve">코드</t>
  </si>
  <si>
    <r>
      <rPr>
        <b val="true"/>
        <sz val="11"/>
        <color rgb="FFFFFFFF"/>
        <rFont val="Noto Sans CJK SC"/>
        <family val="2"/>
      </rPr>
      <t xml:space="preserve">다음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개월 강화할 멘탈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</si>
  <si>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A
</t>
    </r>
    <r>
      <rPr>
        <b val="true"/>
        <sz val="11"/>
        <color rgb="FFFFFFFF"/>
        <rFont val="Noto Sans CJK SC"/>
        <family val="2"/>
      </rPr>
      <t xml:space="preserve">섬세한 준비형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</si>
  <si>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B
</t>
    </r>
    <r>
      <rPr>
        <b val="true"/>
        <sz val="11"/>
        <color rgb="FFFFFFFF"/>
        <rFont val="Noto Sans CJK SC"/>
        <family val="2"/>
      </rPr>
      <t xml:space="preserve">책임감 설계자형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</si>
  <si>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C
</t>
    </r>
    <r>
      <rPr>
        <b val="true"/>
        <sz val="11"/>
        <color rgb="FFFFFFFF"/>
        <rFont val="Noto Sans CJK SC"/>
        <family val="2"/>
      </rPr>
      <t xml:space="preserve">침착한 감각형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</si>
  <si>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D
</t>
    </r>
    <r>
      <rPr>
        <b val="true"/>
        <sz val="11"/>
        <color rgb="FFFFFFFF"/>
        <rFont val="Noto Sans CJK SC"/>
        <family val="2"/>
      </rPr>
      <t xml:space="preserve">실전 승부사형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</si>
  <si>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E
</t>
    </r>
    <r>
      <rPr>
        <b val="true"/>
        <sz val="11"/>
        <color rgb="FFFFFFFF"/>
        <rFont val="Noto Sans CJK SC"/>
        <family val="2"/>
      </rPr>
      <t xml:space="preserve">오뚝이 회복형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</si>
  <si>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F
</t>
    </r>
    <r>
      <rPr>
        <b val="true"/>
        <sz val="11"/>
        <color rgb="FFFFFFFF"/>
        <rFont val="Noto Sans CJK SC"/>
        <family val="2"/>
      </rPr>
      <t xml:space="preserve">성실한 도전자형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</si>
  <si>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G
</t>
    </r>
    <r>
      <rPr>
        <b val="true"/>
        <sz val="11"/>
        <color rgb="FFFFFFFF"/>
        <rFont val="Noto Sans CJK SC"/>
        <family val="2"/>
      </rPr>
      <t xml:space="preserve">스펀지 흡수형</t>
    </r>
  </si>
  <si>
    <r>
      <rPr>
        <b val="true"/>
        <sz val="11"/>
        <color rgb="FFFFFFFF"/>
        <rFont val="Noto Sans CJK SC"/>
        <family val="2"/>
      </rPr>
      <t xml:space="preserve">가까움 </t>
    </r>
    <r>
      <rPr>
        <b val="true"/>
        <sz val="11"/>
        <color rgb="FFFFFFFF"/>
        <rFont val="Arial"/>
        <family val="0"/>
        <charset val="1"/>
      </rPr>
      <t xml:space="preserve">H
</t>
    </r>
    <r>
      <rPr>
        <b val="true"/>
        <sz val="11"/>
        <color rgb="FFFFFFFF"/>
        <rFont val="Noto Sans CJK SC"/>
        <family val="2"/>
      </rPr>
      <t xml:space="preserve">올라운드 밸런스형</t>
    </r>
  </si>
  <si>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보조</t>
    </r>
    <r>
      <rPr>
        <b val="true"/>
        <sz val="11"/>
        <color rgb="FFFFFFFF"/>
        <rFont val="Arial"/>
        <family val="0"/>
        <charset val="1"/>
      </rPr>
      <t xml:space="preserve">) </t>
    </r>
    <r>
      <rPr>
        <b val="true"/>
        <sz val="11"/>
        <color rgb="FFFFFFFF"/>
        <rFont val="Noto Sans CJK SC"/>
        <family val="2"/>
      </rPr>
      <t xml:space="preserve">강점 문자열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</si>
  <si>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긴장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</si>
  <si>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사회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</si>
  <si>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준비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</si>
  <si>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실수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</si>
  <si>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통제</t>
    </r>
  </si>
  <si>
    <r>
      <rPr>
        <b val="true"/>
        <sz val="11"/>
        <color rgb="FFFFFFFF"/>
        <rFont val="Arial"/>
        <family val="0"/>
        <charset val="1"/>
      </rPr>
      <t xml:space="preserve">h</t>
    </r>
    <r>
      <rPr>
        <b val="true"/>
        <sz val="11"/>
        <color rgb="FFFFFFFF"/>
        <rFont val="Noto Sans CJK SC"/>
        <family val="2"/>
      </rPr>
      <t xml:space="preserve">최고</t>
    </r>
  </si>
  <si>
    <t xml:space="preserve">임영준</t>
  </si>
  <si>
    <t xml:space="preserve">남</t>
  </si>
  <si>
    <t xml:space="preserve">서울세일중학교</t>
  </si>
  <si>
    <t xml:space="preserve">PHV 1</t>
  </si>
  <si>
    <t xml:space="preserve">백채아</t>
  </si>
  <si>
    <t xml:space="preserve">여</t>
  </si>
  <si>
    <r>
      <rPr>
        <sz val="11"/>
        <rFont val="Noto Sans CJK SC"/>
        <family val="2"/>
      </rPr>
      <t xml:space="preserve">서울서대문</t>
    </r>
    <r>
      <rPr>
        <sz val="11"/>
        <rFont val="Arial"/>
        <family val="0"/>
        <charset val="1"/>
      </rPr>
      <t xml:space="preserve">FC</t>
    </r>
  </si>
  <si>
    <t xml:space="preserve">PHV 0</t>
  </si>
  <si>
    <t xml:space="preserve">손신유</t>
  </si>
  <si>
    <t xml:space="preserve">PHV -1</t>
  </si>
  <si>
    <t xml:space="preserve">유선민</t>
  </si>
  <si>
    <r>
      <rPr>
        <sz val="11"/>
        <rFont val="Noto Sans CJK SC"/>
        <family val="2"/>
      </rPr>
      <t xml:space="preserve">경기김포</t>
    </r>
    <r>
      <rPr>
        <sz val="11"/>
        <rFont val="Arial"/>
        <family val="0"/>
        <charset val="1"/>
      </rPr>
      <t xml:space="preserve">FC U12</t>
    </r>
  </si>
  <si>
    <t xml:space="preserve">PHV -2</t>
  </si>
  <si>
    <t xml:space="preserve">유정훈</t>
  </si>
  <si>
    <r>
      <rPr>
        <sz val="11"/>
        <rFont val="Noto Sans CJK SC"/>
        <family val="2"/>
      </rPr>
      <t xml:space="preserve">경기양주 </t>
    </r>
    <r>
      <rPr>
        <sz val="11"/>
        <rFont val="Arial"/>
        <family val="0"/>
        <charset val="1"/>
      </rPr>
      <t xml:space="preserve">EHFC U15</t>
    </r>
  </si>
  <si>
    <t xml:space="preserve">백규헌</t>
  </si>
  <si>
    <t xml:space="preserve">송현우</t>
  </si>
  <si>
    <t xml:space="preserve">이우빈</t>
  </si>
  <si>
    <t xml:space="preserve">박정준</t>
  </si>
  <si>
    <t xml:space="preserve">안서진</t>
  </si>
  <si>
    <t xml:space="preserve">이승환</t>
  </si>
  <si>
    <t xml:space="preserve">서울신림중학교</t>
  </si>
  <si>
    <t xml:space="preserve">이도윤</t>
  </si>
  <si>
    <t xml:space="preserve">서울 광명중학교</t>
  </si>
  <si>
    <t xml:space="preserve">고서진</t>
  </si>
  <si>
    <r>
      <rPr>
        <sz val="11"/>
        <rFont val="Noto Sans CJK SC"/>
        <family val="2"/>
      </rPr>
      <t xml:space="preserve">양주</t>
    </r>
    <r>
      <rPr>
        <sz val="11"/>
        <rFont val="Arial"/>
        <family val="0"/>
        <charset val="1"/>
      </rPr>
      <t xml:space="preserve">YJFC</t>
    </r>
  </si>
  <si>
    <t xml:space="preserve">강승원</t>
  </si>
  <si>
    <r>
      <rPr>
        <sz val="11"/>
        <rFont val="Noto Sans CJK SC"/>
        <family val="2"/>
      </rPr>
      <t xml:space="preserve">서울 노원</t>
    </r>
    <r>
      <rPr>
        <sz val="11"/>
        <rFont val="Arial"/>
        <family val="0"/>
        <charset val="1"/>
      </rPr>
      <t xml:space="preserve">RFC</t>
    </r>
  </si>
  <si>
    <t xml:space="preserve">임정빈</t>
  </si>
  <si>
    <t xml:space="preserve">길시혁</t>
  </si>
  <si>
    <r>
      <rPr>
        <sz val="11"/>
        <rFont val="Noto Sans CJK SC"/>
        <family val="2"/>
      </rPr>
      <t xml:space="preserve">경기 김포</t>
    </r>
    <r>
      <rPr>
        <sz val="11"/>
        <rFont val="Arial"/>
        <family val="0"/>
        <charset val="1"/>
      </rPr>
      <t xml:space="preserve">ONE FC</t>
    </r>
  </si>
  <si>
    <t xml:space="preserve">박재하</t>
  </si>
  <si>
    <t xml:space="preserve">김건준</t>
  </si>
  <si>
    <t xml:space="preserve">김주원</t>
  </si>
  <si>
    <t xml:space="preserve">양승현</t>
  </si>
  <si>
    <t xml:space="preserve">박범</t>
  </si>
  <si>
    <t xml:space="preserve">허정우</t>
  </si>
  <si>
    <t xml:space="preserve">이정우</t>
  </si>
  <si>
    <t xml:space="preserve">최승우</t>
  </si>
  <si>
    <t xml:space="preserve">박지우</t>
  </si>
  <si>
    <t xml:space="preserve">서울 경희중학교</t>
  </si>
  <si>
    <t xml:space="preserve">이시준</t>
  </si>
  <si>
    <t xml:space="preserve">경기 광명중학교</t>
  </si>
  <si>
    <t xml:space="preserve">김연우</t>
  </si>
  <si>
    <r>
      <rPr>
        <sz val="11"/>
        <rFont val="Noto Sans CJK SC"/>
        <family val="2"/>
      </rPr>
      <t xml:space="preserve">인천 인천유나이티드</t>
    </r>
    <r>
      <rPr>
        <sz val="11"/>
        <rFont val="Arial"/>
        <family val="0"/>
        <charset val="1"/>
      </rPr>
      <t xml:space="preserve">U18</t>
    </r>
  </si>
  <si>
    <t xml:space="preserve">한시우</t>
  </si>
  <si>
    <t xml:space="preserve">최장우</t>
  </si>
  <si>
    <t xml:space="preserve">조요한</t>
  </si>
  <si>
    <t xml:space="preserve">FC KHT</t>
  </si>
  <si>
    <t xml:space="preserve">임태우</t>
  </si>
  <si>
    <t xml:space="preserve">오승택</t>
  </si>
  <si>
    <t xml:space="preserve">강원 속초중학교</t>
  </si>
  <si>
    <t xml:space="preserve">고은기</t>
  </si>
  <si>
    <r>
      <rPr>
        <sz val="11"/>
        <rFont val="Noto Sans CJK SC"/>
        <family val="2"/>
      </rPr>
      <t xml:space="preserve">강원 속초연세</t>
    </r>
    <r>
      <rPr>
        <sz val="11"/>
        <rFont val="Arial"/>
        <family val="0"/>
        <charset val="1"/>
      </rPr>
      <t xml:space="preserve">FC</t>
    </r>
  </si>
  <si>
    <t xml:space="preserve">최디마</t>
  </si>
  <si>
    <t xml:space="preserve">아산시축구회</t>
  </si>
  <si>
    <t xml:space="preserve">황준서</t>
  </si>
  <si>
    <t xml:space="preserve">황시후</t>
  </si>
  <si>
    <r>
      <rPr>
        <sz val="11"/>
        <rFont val="Noto Sans CJK SC"/>
        <family val="2"/>
      </rPr>
      <t xml:space="preserve">전북 완주</t>
    </r>
    <r>
      <rPr>
        <sz val="11"/>
        <rFont val="Arial"/>
        <family val="0"/>
        <charset val="1"/>
      </rPr>
      <t xml:space="preserve">FC</t>
    </r>
  </si>
  <si>
    <t xml:space="preserve">이훈</t>
  </si>
  <si>
    <r>
      <rPr>
        <sz val="11"/>
        <rFont val="Noto Sans CJK SC"/>
        <family val="2"/>
      </rPr>
      <t xml:space="preserve">인천계양구유소년 </t>
    </r>
    <r>
      <rPr>
        <sz val="11"/>
        <rFont val="Arial"/>
        <family val="0"/>
        <charset val="1"/>
      </rPr>
      <t xml:space="preserve">U15</t>
    </r>
  </si>
  <si>
    <t xml:space="preserve">김윤우</t>
  </si>
  <si>
    <t xml:space="preserve">영일초등학교</t>
  </si>
  <si>
    <t xml:space="preserve">박도현</t>
  </si>
  <si>
    <r>
      <rPr>
        <sz val="11"/>
        <rFont val="Noto Sans CJK SC"/>
        <family val="2"/>
      </rPr>
      <t xml:space="preserve">경기동탄</t>
    </r>
    <r>
      <rPr>
        <sz val="11"/>
        <rFont val="Arial"/>
        <family val="0"/>
        <charset val="1"/>
      </rPr>
      <t xml:space="preserve">FC</t>
    </r>
  </si>
  <si>
    <t xml:space="preserve">한성식</t>
  </si>
  <si>
    <r>
      <rPr>
        <sz val="11"/>
        <rFont val="Noto Sans CJK SC"/>
        <family val="2"/>
      </rPr>
      <t xml:space="preserve">인천서창</t>
    </r>
    <r>
      <rPr>
        <sz val="11"/>
        <rFont val="Arial"/>
        <family val="0"/>
        <charset val="1"/>
      </rPr>
      <t xml:space="preserve">FC</t>
    </r>
  </si>
  <si>
    <t xml:space="preserve">임시환</t>
  </si>
  <si>
    <t xml:space="preserve">김다온</t>
  </si>
  <si>
    <t xml:space="preserve">권정우</t>
  </si>
  <si>
    <t xml:space="preserve">김수지</t>
  </si>
  <si>
    <t xml:space="preserve">서울숭의여자중학교</t>
  </si>
  <si>
    <t xml:space="preserve">서은성</t>
  </si>
  <si>
    <t xml:space="preserve">김하민</t>
  </si>
  <si>
    <t xml:space="preserve">전하늘</t>
  </si>
  <si>
    <t xml:space="preserve">박준오</t>
  </si>
  <si>
    <t xml:space="preserve">이승헌</t>
  </si>
  <si>
    <t xml:space="preserve">안현준</t>
  </si>
  <si>
    <t xml:space="preserve">이한빈</t>
  </si>
  <si>
    <t xml:space="preserve">장동건</t>
  </si>
  <si>
    <t xml:space="preserve">윤하람</t>
  </si>
  <si>
    <t xml:space="preserve">윤우빈</t>
  </si>
  <si>
    <t xml:space="preserve">윤예별</t>
  </si>
  <si>
    <t xml:space="preserve">박서준</t>
  </si>
  <si>
    <t xml:space="preserve">정태윤</t>
  </si>
  <si>
    <r>
      <rPr>
        <sz val="11"/>
        <rFont val="Noto Sans CJK SC"/>
        <family val="2"/>
      </rPr>
      <t xml:space="preserve">서울이정욱</t>
    </r>
    <r>
      <rPr>
        <sz val="11"/>
        <rFont val="Arial"/>
        <family val="0"/>
        <charset val="1"/>
      </rPr>
      <t xml:space="preserve">FC</t>
    </r>
  </si>
  <si>
    <t xml:space="preserve">이찬</t>
  </si>
  <si>
    <t xml:space="preserve">서울신용산초등학교</t>
  </si>
  <si>
    <t xml:space="preserve">김태호</t>
  </si>
  <si>
    <t xml:space="preserve">고결</t>
  </si>
  <si>
    <t xml:space="preserve">성시헌</t>
  </si>
  <si>
    <t xml:space="preserve">지수민</t>
  </si>
  <si>
    <t xml:space="preserve">임민수</t>
  </si>
  <si>
    <t xml:space="preserve">이주안</t>
  </si>
  <si>
    <t xml:space="preserve">박재형</t>
  </si>
  <si>
    <t xml:space="preserve">김동욱</t>
  </si>
  <si>
    <t xml:space="preserve">이준성</t>
  </si>
  <si>
    <t xml:space="preserve">김민재</t>
  </si>
  <si>
    <t xml:space="preserve">김도하</t>
  </si>
  <si>
    <t xml:space="preserve">황재승</t>
  </si>
  <si>
    <t xml:space="preserve">이서준</t>
  </si>
  <si>
    <t xml:space="preserve">김세웅</t>
  </si>
  <si>
    <t xml:space="preserve">유재은</t>
  </si>
  <si>
    <t xml:space="preserve">김태림</t>
  </si>
  <si>
    <t xml:space="preserve">이재원</t>
  </si>
  <si>
    <t xml:space="preserve">이시우</t>
  </si>
  <si>
    <t xml:space="preserve">서울양강초등학교</t>
  </si>
  <si>
    <t xml:space="preserve">김이현</t>
  </si>
  <si>
    <t xml:space="preserve">오서준</t>
  </si>
  <si>
    <t xml:space="preserve">유지훈</t>
  </si>
  <si>
    <t xml:space="preserve">오찬희</t>
  </si>
  <si>
    <t xml:space="preserve">박태양</t>
  </si>
  <si>
    <t xml:space="preserve">김찬유</t>
  </si>
  <si>
    <t xml:space="preserve">김민성</t>
  </si>
  <si>
    <t xml:space="preserve">오주원</t>
  </si>
  <si>
    <t xml:space="preserve">이주언</t>
  </si>
  <si>
    <t xml:space="preserve">안호성</t>
  </si>
  <si>
    <t xml:space="preserve">왕주원</t>
  </si>
  <si>
    <t xml:space="preserve">이채민</t>
  </si>
  <si>
    <t xml:space="preserve">김도영</t>
  </si>
  <si>
    <t xml:space="preserve">이대니</t>
  </si>
  <si>
    <t xml:space="preserve">남궁민</t>
  </si>
  <si>
    <t xml:space="preserve">김유진</t>
  </si>
  <si>
    <t xml:space="preserve">이다올</t>
  </si>
  <si>
    <t xml:space="preserve">이준영</t>
  </si>
  <si>
    <t xml:space="preserve">류희진</t>
  </si>
  <si>
    <r>
      <rPr>
        <sz val="11"/>
        <rFont val="Noto Sans CJK SC"/>
        <family val="2"/>
      </rPr>
      <t xml:space="preserve">서울</t>
    </r>
    <r>
      <rPr>
        <sz val="11"/>
        <rFont val="Arial"/>
        <family val="0"/>
        <charset val="1"/>
      </rPr>
      <t xml:space="preserve">FC</t>
    </r>
    <r>
      <rPr>
        <sz val="11"/>
        <rFont val="Noto Sans CJK SC"/>
        <family val="2"/>
      </rPr>
      <t xml:space="preserve">구로</t>
    </r>
  </si>
  <si>
    <t xml:space="preserve">권도현</t>
  </si>
  <si>
    <t xml:space="preserve">금민승</t>
  </si>
  <si>
    <r>
      <rPr>
        <sz val="11"/>
        <rFont val="Noto Sans CJK SC"/>
        <family val="2"/>
      </rPr>
      <t xml:space="preserve">서울 </t>
    </r>
    <r>
      <rPr>
        <sz val="11"/>
        <rFont val="Arial"/>
        <family val="0"/>
        <charset val="1"/>
      </rPr>
      <t xml:space="preserve">FC</t>
    </r>
    <r>
      <rPr>
        <sz val="11"/>
        <rFont val="Noto Sans CJK SC"/>
        <family val="2"/>
      </rPr>
      <t xml:space="preserve">구로</t>
    </r>
  </si>
  <si>
    <t xml:space="preserve">박태민</t>
  </si>
  <si>
    <t xml:space="preserve">정예담</t>
  </si>
  <si>
    <t xml:space="preserve">유세종</t>
  </si>
  <si>
    <t xml:space="preserve">김범진</t>
  </si>
  <si>
    <t xml:space="preserve">한호준</t>
  </si>
  <si>
    <t xml:space="preserve">홍준우</t>
  </si>
  <si>
    <t xml:space="preserve">이하랑</t>
  </si>
  <si>
    <t xml:space="preserve">임세훈</t>
  </si>
  <si>
    <t xml:space="preserve">조현상</t>
  </si>
  <si>
    <t xml:space="preserve">강이준</t>
  </si>
  <si>
    <t xml:space="preserve">문진혁</t>
  </si>
  <si>
    <t xml:space="preserve">최은우</t>
  </si>
  <si>
    <t xml:space="preserve">변정우</t>
  </si>
  <si>
    <r>
      <rPr>
        <sz val="11"/>
        <rFont val="Noto Sans CJK SC"/>
        <family val="2"/>
      </rPr>
      <t xml:space="preserve">서울 구로</t>
    </r>
    <r>
      <rPr>
        <sz val="11"/>
        <rFont val="Arial"/>
        <family val="0"/>
        <charset val="1"/>
      </rPr>
      <t xml:space="preserve">FC</t>
    </r>
  </si>
  <si>
    <t xml:space="preserve">안제혁</t>
  </si>
  <si>
    <t xml:space="preserve">김온유</t>
  </si>
  <si>
    <t xml:space="preserve">이도현</t>
  </si>
  <si>
    <t xml:space="preserve">박규빈</t>
  </si>
  <si>
    <t xml:space="preserve">신지율</t>
  </si>
  <si>
    <t xml:space="preserve">서울대동초등학교</t>
  </si>
  <si>
    <t xml:space="preserve">박정환</t>
  </si>
  <si>
    <t xml:space="preserve">정선우</t>
  </si>
  <si>
    <r>
      <rPr>
        <sz val="11"/>
        <rFont val="Arial"/>
        <family val="0"/>
        <charset val="1"/>
      </rPr>
      <t xml:space="preserve">AAFC</t>
    </r>
    <r>
      <rPr>
        <sz val="11"/>
        <rFont val="Noto Sans CJK SC"/>
        <family val="2"/>
      </rPr>
      <t xml:space="preserve">대청</t>
    </r>
  </si>
  <si>
    <t xml:space="preserve">조현우</t>
  </si>
  <si>
    <t xml:space="preserve">이기석</t>
  </si>
  <si>
    <t xml:space="preserve">김준수</t>
  </si>
  <si>
    <t xml:space="preserve">김시윤</t>
  </si>
  <si>
    <t xml:space="preserve">임건우</t>
  </si>
  <si>
    <t xml:space="preserve">이유찬</t>
  </si>
  <si>
    <t xml:space="preserve">최민기</t>
  </si>
  <si>
    <t xml:space="preserve">윤하준</t>
  </si>
  <si>
    <t xml:space="preserve">이태인</t>
  </si>
  <si>
    <t xml:space="preserve">전준혁</t>
  </si>
  <si>
    <t xml:space="preserve">도율찬</t>
  </si>
  <si>
    <t xml:space="preserve">김가온</t>
  </si>
  <si>
    <t xml:space="preserve">서도우</t>
  </si>
  <si>
    <t xml:space="preserve">최시호</t>
  </si>
  <si>
    <t xml:space="preserve">임유담</t>
  </si>
  <si>
    <t xml:space="preserve">임라울</t>
  </si>
  <si>
    <r>
      <rPr>
        <sz val="11"/>
        <rFont val="Noto Sans CJK SC"/>
        <family val="2"/>
      </rPr>
      <t xml:space="preserve">서울솔트</t>
    </r>
    <r>
      <rPr>
        <sz val="11"/>
        <rFont val="Arial"/>
        <family val="0"/>
        <charset val="1"/>
      </rPr>
      <t xml:space="preserve">FC U12</t>
    </r>
  </si>
  <si>
    <t xml:space="preserve">이주원</t>
  </si>
  <si>
    <t xml:space="preserve">박선준</t>
  </si>
  <si>
    <t xml:space="preserve">이지우</t>
  </si>
  <si>
    <t xml:space="preserve">데비드</t>
  </si>
  <si>
    <t xml:space="preserve">조하준</t>
  </si>
  <si>
    <t xml:space="preserve">민온유</t>
  </si>
  <si>
    <t xml:space="preserve">김세준</t>
  </si>
  <si>
    <t xml:space="preserve">김유래</t>
  </si>
  <si>
    <t xml:space="preserve">김이한</t>
  </si>
  <si>
    <t xml:space="preserve">박윤우</t>
  </si>
  <si>
    <t xml:space="preserve">허민우</t>
  </si>
  <si>
    <r>
      <rPr>
        <sz val="11"/>
        <rFont val="Noto Sans CJK SC"/>
        <family val="2"/>
      </rPr>
      <t xml:space="preserve">서울솔트</t>
    </r>
    <r>
      <rPr>
        <sz val="11"/>
        <rFont val="Arial"/>
        <family val="0"/>
        <charset val="1"/>
      </rPr>
      <t xml:space="preserve">FC U11</t>
    </r>
  </si>
  <si>
    <t xml:space="preserve">최유준</t>
  </si>
  <si>
    <t xml:space="preserve">백인우</t>
  </si>
  <si>
    <t xml:space="preserve">신지호</t>
  </si>
  <si>
    <t xml:space="preserve">박우찬</t>
  </si>
  <si>
    <t xml:space="preserve">윤서준</t>
  </si>
  <si>
    <r>
      <rPr>
        <sz val="11"/>
        <rFont val="Noto Sans CJK SC"/>
        <family val="2"/>
      </rPr>
      <t xml:space="preserve">오스틴 </t>
    </r>
    <r>
      <rPr>
        <sz val="11"/>
        <rFont val="Arial"/>
        <family val="0"/>
        <charset val="1"/>
      </rPr>
      <t xml:space="preserve">austin</t>
    </r>
  </si>
  <si>
    <t xml:space="preserve">김선혁</t>
  </si>
  <si>
    <t xml:space="preserve">김수혁</t>
  </si>
  <si>
    <t xml:space="preserve">전준수</t>
  </si>
  <si>
    <t xml:space="preserve">임재인</t>
  </si>
  <si>
    <r>
      <rPr>
        <sz val="11"/>
        <rFont val="Noto Sans CJK SC"/>
        <family val="2"/>
      </rPr>
      <t xml:space="preserve">서울 화랑</t>
    </r>
    <r>
      <rPr>
        <sz val="11"/>
        <rFont val="Arial"/>
        <family val="0"/>
        <charset val="1"/>
      </rPr>
      <t xml:space="preserve">FC</t>
    </r>
  </si>
  <si>
    <t xml:space="preserve">최윤후</t>
  </si>
  <si>
    <t xml:space="preserve">이윤우</t>
  </si>
  <si>
    <t xml:space="preserve">한서준</t>
  </si>
  <si>
    <t xml:space="preserve">이예준</t>
  </si>
  <si>
    <t xml:space="preserve">홍승우</t>
  </si>
  <si>
    <t xml:space="preserve">김형규</t>
  </si>
  <si>
    <t xml:space="preserve">김예준</t>
  </si>
  <si>
    <t xml:space="preserve">김효빈</t>
  </si>
  <si>
    <t xml:space="preserve">한상율</t>
  </si>
  <si>
    <t xml:space="preserve">홍성원</t>
  </si>
  <si>
    <t xml:space="preserve">최지혁</t>
  </si>
  <si>
    <t xml:space="preserve">이준우</t>
  </si>
  <si>
    <t xml:space="preserve">윤현명</t>
  </si>
  <si>
    <r>
      <rPr>
        <sz val="11"/>
        <rFont val="Noto Sans CJK SC"/>
        <family val="2"/>
      </rPr>
      <t xml:space="preserve">서울화랑</t>
    </r>
    <r>
      <rPr>
        <sz val="11"/>
        <rFont val="Arial"/>
        <family val="0"/>
        <charset val="1"/>
      </rPr>
      <t xml:space="preserve">U11</t>
    </r>
  </si>
  <si>
    <t xml:space="preserve">구교준</t>
  </si>
  <si>
    <t xml:space="preserve">김태한</t>
  </si>
  <si>
    <t xml:space="preserve">이찬민</t>
  </si>
  <si>
    <t xml:space="preserve">김정민</t>
  </si>
  <si>
    <t xml:space="preserve">정유준</t>
  </si>
  <si>
    <t xml:space="preserve">이재유</t>
  </si>
  <si>
    <t xml:space="preserve">박현서</t>
  </si>
  <si>
    <t xml:space="preserve">문태준</t>
  </si>
  <si>
    <t xml:space="preserve">주태율</t>
  </si>
  <si>
    <t xml:space="preserve">권예준</t>
  </si>
  <si>
    <t xml:space="preserve">박하랑</t>
  </si>
  <si>
    <t xml:space="preserve">홍찬빈</t>
  </si>
  <si>
    <r>
      <rPr>
        <sz val="11"/>
        <rFont val="Arial"/>
        <family val="0"/>
        <charset val="1"/>
      </rPr>
      <t xml:space="preserve">FC </t>
    </r>
    <r>
      <rPr>
        <sz val="11"/>
        <rFont val="Noto Sans CJK SC"/>
        <family val="2"/>
      </rPr>
      <t xml:space="preserve">바모스</t>
    </r>
  </si>
  <si>
    <t xml:space="preserve">안재상</t>
  </si>
  <si>
    <t xml:space="preserve">송하율</t>
  </si>
  <si>
    <t xml:space="preserve">이예환</t>
  </si>
  <si>
    <t xml:space="preserve">민진우</t>
  </si>
  <si>
    <t xml:space="preserve">김현중</t>
  </si>
  <si>
    <t xml:space="preserve">권서준</t>
  </si>
  <si>
    <t xml:space="preserve">김주혁</t>
  </si>
  <si>
    <t xml:space="preserve">정준우</t>
  </si>
  <si>
    <t xml:space="preserve">김서진</t>
  </si>
  <si>
    <t xml:space="preserve">신민찬</t>
  </si>
  <si>
    <t xml:space="preserve">김현준</t>
  </si>
  <si>
    <t xml:space="preserve">오현준</t>
  </si>
  <si>
    <t xml:space="preserve">유지호</t>
  </si>
  <si>
    <t xml:space="preserve">김민환</t>
  </si>
  <si>
    <t xml:space="preserve">최시윤</t>
  </si>
  <si>
    <t xml:space="preserve">박건우</t>
  </si>
  <si>
    <t xml:space="preserve">이두율</t>
  </si>
  <si>
    <t xml:space="preserve">이예율</t>
  </si>
  <si>
    <r>
      <rPr>
        <sz val="11"/>
        <rFont val="Noto Sans CJK SC"/>
        <family val="2"/>
      </rPr>
      <t xml:space="preserve">김주영</t>
    </r>
    <r>
      <rPr>
        <sz val="11"/>
        <rFont val="Arial"/>
        <family val="0"/>
        <charset val="1"/>
      </rPr>
      <t xml:space="preserve">B</t>
    </r>
  </si>
  <si>
    <t xml:space="preserve">김단우</t>
  </si>
  <si>
    <t xml:space="preserve">김시완</t>
  </si>
  <si>
    <t xml:space="preserve">명세율</t>
  </si>
  <si>
    <t xml:space="preserve">김정우</t>
  </si>
  <si>
    <t xml:space="preserve">최윤오</t>
  </si>
  <si>
    <t xml:space="preserve">신윤우</t>
  </si>
  <si>
    <t xml:space="preserve">이준서</t>
  </si>
  <si>
    <r>
      <rPr>
        <sz val="11"/>
        <rFont val="Noto Sans CJK SC"/>
        <family val="2"/>
      </rPr>
      <t xml:space="preserve">서울솔트</t>
    </r>
    <r>
      <rPr>
        <sz val="11"/>
        <rFont val="Arial"/>
        <family val="0"/>
        <charset val="1"/>
      </rPr>
      <t xml:space="preserve">FC U15</t>
    </r>
  </si>
  <si>
    <t xml:space="preserve">박누리솔</t>
  </si>
  <si>
    <t xml:space="preserve">지현성</t>
  </si>
  <si>
    <t xml:space="preserve">PHV 2</t>
  </si>
  <si>
    <t xml:space="preserve">모렐로 벤자민</t>
  </si>
  <si>
    <t xml:space="preserve">이선율</t>
  </si>
  <si>
    <t xml:space="preserve">박유찬</t>
  </si>
  <si>
    <t xml:space="preserve">박종률</t>
  </si>
  <si>
    <t xml:space="preserve">오승유</t>
  </si>
  <si>
    <t xml:space="preserve">김민섭</t>
  </si>
  <si>
    <t xml:space="preserve">이호균</t>
  </si>
  <si>
    <t xml:space="preserve">방시윤</t>
  </si>
  <si>
    <t xml:space="preserve">김율</t>
  </si>
  <si>
    <t xml:space="preserve">이시원</t>
  </si>
  <si>
    <t xml:space="preserve">최원준</t>
  </si>
  <si>
    <t xml:space="preserve">최민건</t>
  </si>
  <si>
    <t xml:space="preserve">박건</t>
  </si>
  <si>
    <t xml:space="preserve">임효우</t>
  </si>
  <si>
    <t xml:space="preserve">방준혁</t>
  </si>
  <si>
    <t xml:space="preserve">정세윤</t>
  </si>
  <si>
    <t xml:space="preserve">안진우</t>
  </si>
  <si>
    <t xml:space="preserve">김승환</t>
  </si>
  <si>
    <t xml:space="preserve">곽제이</t>
  </si>
  <si>
    <r>
      <rPr>
        <sz val="11"/>
        <rFont val="Noto Sans CJK SC"/>
        <family val="2"/>
      </rPr>
      <t xml:space="preserve">서울</t>
    </r>
    <r>
      <rPr>
        <sz val="11"/>
        <rFont val="Arial"/>
        <family val="0"/>
        <charset val="1"/>
      </rPr>
      <t xml:space="preserve">FC</t>
    </r>
    <r>
      <rPr>
        <sz val="11"/>
        <rFont val="Noto Sans CJK SC"/>
        <family val="2"/>
      </rPr>
      <t xml:space="preserve">서울 </t>
    </r>
    <r>
      <rPr>
        <sz val="11"/>
        <rFont val="Arial"/>
        <family val="0"/>
        <charset val="1"/>
      </rPr>
      <t xml:space="preserve">U12</t>
    </r>
  </si>
  <si>
    <t xml:space="preserve">홍선</t>
  </si>
  <si>
    <t xml:space="preserve">서울영등포스포츠클럽</t>
  </si>
  <si>
    <t xml:space="preserve">염연우</t>
  </si>
  <si>
    <t xml:space="preserve">정태원</t>
  </si>
  <si>
    <t xml:space="preserve">서울 동도중학교</t>
  </si>
  <si>
    <t xml:space="preserve">서승현</t>
  </si>
  <si>
    <t xml:space="preserve">김수현</t>
  </si>
  <si>
    <t xml:space="preserve">해온한의원</t>
  </si>
  <si>
    <t xml:space="preserve">이송규</t>
  </si>
  <si>
    <t xml:space="preserve">이정윤</t>
  </si>
  <si>
    <t xml:space="preserve">서울경희중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</si>
</sst>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"/>
    <numFmt numFmtId="167" formatCode="General"/>
    <numFmt numFmtId="168" formatCode="0.0%"/>
    <numFmt numFmtId="169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3"/>
      <color rgb="FF0000FF"/>
      <name val="Noto Sans CJK SC"/>
      <family val="2"/>
    </font>
    <font>
      <i val="true"/>
      <sz val="11"/>
      <color rgb="FF888888"/>
      <name val="Noto Sans CJK SC"/>
      <family val="2"/>
    </font>
    <font>
      <i val="true"/>
      <sz val="11"/>
      <color rgb="FF888888"/>
      <name val="Arial"/>
      <family val="0"/>
      <charset val="1"/>
    </font>
    <font>
      <b val="true"/>
      <sz val="16"/>
      <color rgb="FFF28C28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1A1A"/>
        <bgColor rgb="FF333300"/>
      </patternFill>
    </fill>
    <fill>
      <patternFill patternType="solid">
        <fgColor rgb="FFF28C28"/>
        <bgColor rgb="FFFF8080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0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CD6"/>
          <bgColor rgb="FF000000"/>
        </patternFill>
      </fill>
    </dxf>
    <dxf>
      <fill>
        <patternFill patternType="solid">
          <fgColor rgb="FFDFEDD9"/>
          <bgColor rgb="FF000000"/>
        </patternFill>
      </fill>
    </dxf>
    <dxf>
      <fill>
        <patternFill patternType="solid">
          <fgColor rgb="FFE1EFDC"/>
          <bgColor rgb="FF000000"/>
        </patternFill>
      </fill>
    </dxf>
    <dxf>
      <fill>
        <patternFill patternType="solid">
          <fgColor rgb="FFE4F0DF"/>
          <bgColor rgb="FF000000"/>
        </patternFill>
      </fill>
    </dxf>
    <dxf>
      <fill>
        <patternFill patternType="solid">
          <fgColor rgb="FFE6F1E2"/>
          <bgColor rgb="FF000000"/>
        </patternFill>
      </fill>
    </dxf>
    <dxf>
      <fill>
        <patternFill patternType="solid">
          <fgColor rgb="FFE9F3E5"/>
          <bgColor rgb="FF000000"/>
        </patternFill>
      </fill>
    </dxf>
    <dxf>
      <fill>
        <patternFill patternType="solid">
          <fgColor rgb="FFEBF4E8"/>
          <bgColor rgb="FF000000"/>
        </patternFill>
      </fill>
    </dxf>
    <dxf>
      <fill>
        <patternFill patternType="solid">
          <fgColor rgb="FFEEF6EB"/>
          <bgColor rgb="FF000000"/>
        </patternFill>
      </fill>
    </dxf>
    <dxf>
      <fill>
        <patternFill patternType="solid">
          <fgColor rgb="FFF0F7EE"/>
          <bgColor rgb="FF000000"/>
        </patternFill>
      </fill>
    </dxf>
    <dxf>
      <fill>
        <patternFill patternType="solid">
          <fgColor rgb="FFF3F8F1"/>
          <bgColor rgb="FF000000"/>
        </patternFill>
      </fill>
    </dxf>
    <dxf>
      <fill>
        <patternFill patternType="solid">
          <fgColor rgb="FFF5FAF4"/>
          <bgColor rgb="FF000000"/>
        </patternFill>
      </fill>
    </dxf>
    <dxf>
      <fill>
        <patternFill patternType="solid">
          <fgColor rgb="FFF8FBF7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FCEDE0"/>
          <bgColor rgb="FF000000"/>
        </patternFill>
      </fill>
    </dxf>
    <dxf>
      <fill>
        <patternFill patternType="solid">
          <fgColor rgb="FFFCEEE2"/>
          <bgColor rgb="FF000000"/>
        </patternFill>
      </fill>
    </dxf>
    <dxf>
      <fill>
        <patternFill patternType="solid">
          <fgColor rgb="FFFDF1E8"/>
          <bgColor rgb="FF000000"/>
        </patternFill>
      </fill>
    </dxf>
    <dxf>
      <fill>
        <patternFill patternType="solid">
          <fgColor rgb="FFFDF2EA"/>
          <bgColor rgb="FF000000"/>
        </patternFill>
      </fill>
    </dxf>
    <dxf>
      <fill>
        <patternFill patternType="solid">
          <fgColor rgb="FFFDF3EC"/>
          <bgColor rgb="FF000000"/>
        </patternFill>
      </fill>
    </dxf>
    <dxf>
      <fill>
        <patternFill patternType="solid">
          <fgColor rgb="FFFDF4EE"/>
          <bgColor rgb="FF000000"/>
        </patternFill>
      </fill>
    </dxf>
    <dxf>
      <fill>
        <patternFill patternType="solid">
          <fgColor rgb="FFFDF6EF"/>
          <bgColor rgb="FF000000"/>
        </patternFill>
      </fill>
    </dxf>
    <dxf>
      <fill>
        <patternFill patternType="solid">
          <fgColor rgb="FFFDF7F1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8F3"/>
          <bgColor rgb="FF000000"/>
        </patternFill>
      </fill>
    </dxf>
    <dxf>
      <fill>
        <patternFill patternType="solid">
          <fgColor rgb="FFFEF9F5"/>
          <bgColor rgb="FF000000"/>
        </patternFill>
      </fill>
    </dxf>
    <dxf>
      <fill>
        <patternFill patternType="solid">
          <fgColor rgb="FFFEFAF7"/>
          <bgColor rgb="FF000000"/>
        </patternFill>
      </fill>
    </dxf>
    <dxf>
      <fill>
        <patternFill patternType="solid">
          <fgColor rgb="FFFEFBF9"/>
          <bgColor rgb="FF000000"/>
        </patternFill>
      </fill>
    </dxf>
    <dxf>
      <fill>
        <patternFill patternType="solid">
          <fgColor rgb="FFFEFC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BE4D1"/>
          <bgColor rgb="FF000000"/>
        </patternFill>
      </fill>
    </dxf>
    <dxf>
      <fill>
        <patternFill patternType="solid">
          <fgColor rgb="FFFBE6D5"/>
          <bgColor rgb="FF000000"/>
        </patternFill>
      </fill>
    </dxf>
    <dxf>
      <fill>
        <patternFill patternType="solid">
          <fgColor rgb="FFFBE7D7"/>
          <bgColor rgb="FF000000"/>
        </patternFill>
      </fill>
    </dxf>
    <dxf>
      <fill>
        <patternFill patternType="solid">
          <fgColor rgb="FFFBE9DB"/>
          <bgColor rgb="FF000000"/>
        </patternFill>
      </fill>
    </dxf>
    <dxf>
      <fill>
        <patternFill patternType="solid">
          <fgColor rgb="FFFCEBDF"/>
          <bgColor rgb="FF000000"/>
        </patternFill>
      </fill>
    </dxf>
    <dxf>
      <fill>
        <patternFill patternType="solid">
          <fgColor rgb="FFFCEFE4"/>
          <bgColor rgb="FF000000"/>
        </patternFill>
      </fill>
    </dxf>
    <dxf>
      <fill>
        <patternFill patternType="solid">
          <fgColor rgb="FFFCF0E6"/>
          <bgColor rgb="FF000000"/>
        </patternFill>
      </fill>
    </dxf>
    <dxf>
      <fill>
        <patternFill patternType="solid">
          <fgColor rgb="FFFBE3D0"/>
          <bgColor rgb="FF000000"/>
        </patternFill>
      </fill>
    </dxf>
    <dxf>
      <fill>
        <patternFill patternType="solid">
          <fgColor rgb="FFFBE5D3"/>
          <bgColor rgb="FF000000"/>
        </patternFill>
      </fill>
    </dxf>
    <dxf>
      <fill>
        <patternFill patternType="solid">
          <fgColor rgb="FFFCEADD"/>
          <bgColor rgb="FF000000"/>
        </patternFill>
      </fill>
    </dxf>
    <dxf>
      <fill>
        <patternFill patternType="solid">
          <fgColor rgb="FFFBE8D9"/>
          <bgColor rgb="FF000000"/>
        </patternFill>
      </fill>
    </dxf>
    <dxf>
      <fill>
        <patternFill patternType="solid">
          <fgColor rgb="FFDDECD7"/>
          <bgColor rgb="FF000000"/>
        </patternFill>
      </fill>
    </dxf>
    <dxf>
      <fill>
        <patternFill patternType="solid">
          <fgColor rgb="FFDEEDD9"/>
          <bgColor rgb="FF000000"/>
        </patternFill>
      </fill>
    </dxf>
    <dxf>
      <fill>
        <patternFill patternType="solid">
          <fgColor rgb="FFDFEEDA"/>
          <bgColor rgb="FF000000"/>
        </patternFill>
      </fill>
    </dxf>
    <dxf>
      <fill>
        <patternFill patternType="solid">
          <fgColor rgb="FFE0EEDB"/>
          <bgColor rgb="FF000000"/>
        </patternFill>
      </fill>
    </dxf>
    <dxf>
      <fill>
        <patternFill patternType="solid">
          <fgColor rgb="FFE2EFDD"/>
          <bgColor rgb="FF000000"/>
        </patternFill>
      </fill>
    </dxf>
    <dxf>
      <fill>
        <patternFill patternType="solid">
          <fgColor rgb="FFE2EFDE"/>
          <bgColor rgb="FF000000"/>
        </patternFill>
      </fill>
    </dxf>
    <dxf>
      <fill>
        <patternFill patternType="solid">
          <fgColor rgb="FFE3F0DE"/>
          <bgColor rgb="FF000000"/>
        </patternFill>
      </fill>
    </dxf>
    <dxf>
      <fill>
        <patternFill patternType="solid">
          <fgColor rgb="FFE4F0E0"/>
          <bgColor rgb="FF000000"/>
        </patternFill>
      </fill>
    </dxf>
    <dxf>
      <fill>
        <patternFill patternType="solid">
          <fgColor rgb="FFE5F1E1"/>
          <bgColor rgb="FF000000"/>
        </patternFill>
      </fill>
    </dxf>
    <dxf>
      <fill>
        <patternFill patternType="solid">
          <fgColor rgb="FFE6F1E1"/>
          <bgColor rgb="FF000000"/>
        </patternFill>
      </fill>
    </dxf>
    <dxf>
      <fill>
        <patternFill patternType="solid">
          <fgColor rgb="FFE7F2E3"/>
          <bgColor rgb="FF000000"/>
        </patternFill>
      </fill>
    </dxf>
    <dxf>
      <fill>
        <patternFill patternType="solid">
          <fgColor rgb="FFE8F3E4"/>
          <bgColor rgb="FF000000"/>
        </patternFill>
      </fill>
    </dxf>
    <dxf>
      <fill>
        <patternFill patternType="solid">
          <fgColor rgb="FFEAF4E7"/>
          <bgColor rgb="FF000000"/>
        </patternFill>
      </fill>
    </dxf>
    <dxf>
      <fill>
        <patternFill patternType="solid">
          <fgColor rgb="FFEBF4E7"/>
          <bgColor rgb="FF000000"/>
        </patternFill>
      </fill>
    </dxf>
    <dxf>
      <fill>
        <patternFill patternType="solid">
          <fgColor rgb="FFECF5E9"/>
          <bgColor rgb="FF000000"/>
        </patternFill>
      </fill>
    </dxf>
    <dxf>
      <fill>
        <patternFill patternType="solid">
          <fgColor rgb="FFEDF5EA"/>
          <bgColor rgb="FF000000"/>
        </patternFill>
      </fill>
    </dxf>
    <dxf>
      <fill>
        <patternFill patternType="solid">
          <fgColor rgb="FFEEF6EC"/>
          <bgColor rgb="FF000000"/>
        </patternFill>
      </fill>
    </dxf>
    <dxf>
      <fill>
        <patternFill patternType="solid">
          <fgColor rgb="FFEFF6EC"/>
          <bgColor rgb="FF000000"/>
        </patternFill>
      </fill>
    </dxf>
    <dxf>
      <fill>
        <patternFill patternType="solid">
          <fgColor rgb="FFF0F7ED"/>
          <bgColor rgb="FF000000"/>
        </patternFill>
      </fill>
    </dxf>
    <dxf>
      <fill>
        <patternFill patternType="solid">
          <fgColor rgb="FFF1F7EF"/>
          <bgColor rgb="FF000000"/>
        </patternFill>
      </fill>
    </dxf>
    <dxf>
      <fill>
        <patternFill patternType="solid">
          <fgColor rgb="FFF28C28"/>
          <bgColor rgb="FF000000"/>
        </patternFill>
      </fill>
    </dxf>
    <dxf>
      <fill>
        <patternFill patternType="solid">
          <fgColor rgb="FFF2F8EF"/>
          <bgColor rgb="FF000000"/>
        </patternFill>
      </fill>
    </dxf>
    <dxf>
      <fill>
        <patternFill patternType="solid">
          <fgColor rgb="FFF2F8F0"/>
          <bgColor rgb="FF000000"/>
        </patternFill>
      </fill>
    </dxf>
    <dxf>
      <fill>
        <patternFill patternType="solid">
          <fgColor rgb="FFF4F9F2"/>
          <bgColor rgb="FF000000"/>
        </patternFill>
      </fill>
    </dxf>
    <dxf>
      <fill>
        <patternFill patternType="solid">
          <fgColor rgb="FFF5FAF3"/>
          <bgColor rgb="FF000000"/>
        </patternFill>
      </fill>
    </dxf>
    <dxf>
      <fill>
        <patternFill patternType="solid">
          <fgColor rgb="FFF6FAF4"/>
          <bgColor rgb="FF000000"/>
        </patternFill>
      </fill>
    </dxf>
    <dxf>
      <fill>
        <patternFill patternType="solid">
          <fgColor rgb="FFF7FBF5"/>
          <bgColor rgb="FF000000"/>
        </patternFill>
      </fill>
    </dxf>
    <dxf>
      <fill>
        <patternFill patternType="solid">
          <fgColor rgb="FFF7FBF6"/>
          <bgColor rgb="FF000000"/>
        </patternFill>
      </fill>
    </dxf>
    <dxf>
      <fill>
        <patternFill patternType="solid">
          <fgColor rgb="FFF9FCF7"/>
          <bgColor rgb="FF000000"/>
        </patternFill>
      </fill>
    </dxf>
    <dxf>
      <fill>
        <patternFill patternType="solid">
          <fgColor rgb="FFF9FCF8"/>
          <bgColor rgb="FF000000"/>
        </patternFill>
      </fill>
    </dxf>
    <dxf>
      <fill>
        <patternFill patternType="solid">
          <fgColor rgb="FFFBE5D4"/>
          <bgColor rgb="FF000000"/>
        </patternFill>
      </fill>
    </dxf>
    <dxf>
      <fill>
        <patternFill patternType="solid">
          <fgColor rgb="FFFBE8D8"/>
          <bgColor rgb="FF000000"/>
        </patternFill>
      </fill>
    </dxf>
    <dxf>
      <fill>
        <patternFill patternType="solid">
          <fgColor rgb="FFFBFDFA"/>
          <bgColor rgb="FF000000"/>
        </patternFill>
      </fill>
    </dxf>
    <dxf>
      <fill>
        <patternFill patternType="solid">
          <fgColor rgb="FFFCECDF"/>
          <bgColor rgb="FF000000"/>
        </patternFill>
      </fill>
    </dxf>
    <dxf>
      <fill>
        <patternFill patternType="solid">
          <fgColor rgb="FFFCECE0"/>
          <bgColor rgb="FF000000"/>
        </patternFill>
      </fill>
    </dxf>
    <dxf>
      <fill>
        <patternFill patternType="solid">
          <fgColor rgb="FFFCEEE3"/>
          <bgColor rgb="FF000000"/>
        </patternFill>
      </fill>
    </dxf>
    <dxf>
      <fill>
        <patternFill patternType="solid">
          <fgColor rgb="FFFCEFE5"/>
          <bgColor rgb="FF000000"/>
        </patternFill>
      </fill>
    </dxf>
    <dxf>
      <fill>
        <patternFill patternType="solid">
          <fgColor rgb="FFFCF0E7"/>
          <bgColor rgb="FF000000"/>
        </patternFill>
      </fill>
    </dxf>
    <dxf>
      <fill>
        <patternFill patternType="solid">
          <fgColor rgb="FFFCFDFB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DF3EB"/>
          <bgColor rgb="FF000000"/>
        </patternFill>
      </fill>
    </dxf>
    <dxf>
      <fill>
        <patternFill patternType="solid">
          <fgColor rgb="FFFDF4EC"/>
          <bgColor rgb="FF000000"/>
        </patternFill>
      </fill>
    </dxf>
    <dxf>
      <fill>
        <patternFill patternType="solid">
          <fgColor rgb="FFFDF4ED"/>
          <bgColor rgb="FF000000"/>
        </patternFill>
      </fill>
    </dxf>
    <dxf>
      <fill>
        <patternFill patternType="solid">
          <fgColor rgb="FFFDF5EF"/>
          <bgColor rgb="FF000000"/>
        </patternFill>
      </fill>
    </dxf>
    <dxf>
      <fill>
        <patternFill patternType="solid">
          <fgColor rgb="FFFDF6F0"/>
          <bgColor rgb="FF000000"/>
        </patternFill>
      </fill>
    </dxf>
    <dxf>
      <fill>
        <patternFill patternType="solid">
          <fgColor rgb="FFFDF6F1"/>
          <bgColor rgb="FF000000"/>
        </patternFill>
      </fill>
    </dxf>
    <dxf>
      <fill>
        <patternFill patternType="solid">
          <fgColor rgb="FFFDF7F2"/>
          <bgColor rgb="FF000000"/>
        </patternFill>
      </fill>
    </dxf>
    <dxf>
      <fill>
        <patternFill patternType="solid">
          <fgColor rgb="FFFEF8F4"/>
          <bgColor rgb="FF000000"/>
        </patternFill>
      </fill>
    </dxf>
    <dxf>
      <fill>
        <patternFill patternType="solid">
          <fgColor rgb="FFFEF9F6"/>
          <bgColor rgb="FF000000"/>
        </patternFill>
      </fill>
    </dxf>
    <dxf>
      <fill>
        <patternFill patternType="solid">
          <fgColor rgb="FFFEFBF8"/>
          <bgColor rgb="FF000000"/>
        </patternFill>
      </fill>
    </dxf>
    <dxf>
      <fill>
        <patternFill patternType="solid">
          <fgColor rgb="FFFEFCFA"/>
          <bgColor rgb="FF000000"/>
        </patternFill>
      </fill>
    </dxf>
    <dxf>
      <fill>
        <patternFill patternType="solid">
          <fgColor rgb="FFFEFDFB"/>
          <bgColor rgb="FF000000"/>
        </patternFill>
      </fill>
    </dxf>
    <dxf>
      <fill>
        <patternFill patternType="solid">
          <fgColor rgb="FFFEFDFC"/>
          <bgColor rgb="FF000000"/>
        </patternFill>
      </fill>
    </dxf>
    <dxf>
      <fill>
        <patternFill patternType="solid">
          <fgColor rgb="FFFEFE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E8F2E4"/>
          <bgColor rgb="FF000000"/>
        </patternFill>
      </fill>
    </dxf>
    <dxf>
      <fill>
        <patternFill patternType="solid">
          <fgColor rgb="FFEAF3E6"/>
          <bgColor rgb="FF000000"/>
        </patternFill>
      </fill>
    </dxf>
    <dxf>
      <fill>
        <patternFill patternType="solid">
          <fgColor rgb="FFEFF7ED"/>
          <bgColor rgb="FF000000"/>
        </patternFill>
      </fill>
    </dxf>
    <dxf>
      <fill>
        <patternFill patternType="solid">
          <fgColor rgb="FFF1F8EF"/>
          <bgColor rgb="FF000000"/>
        </patternFill>
      </fill>
    </dxf>
    <dxf>
      <fill>
        <patternFill patternType="solid">
          <fgColor rgb="FFF5F9F3"/>
          <bgColor rgb="FF000000"/>
        </patternFill>
      </fill>
    </dxf>
    <dxf>
      <fill>
        <patternFill patternType="solid">
          <fgColor rgb="FFF6FAF5"/>
          <bgColor rgb="FF000000"/>
        </patternFill>
      </fill>
    </dxf>
    <dxf>
      <fill>
        <patternFill patternType="solid">
          <fgColor rgb="FFFAFCF9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CEBDE"/>
          <bgColor rgb="FF000000"/>
        </patternFill>
      </fill>
    </dxf>
    <dxf>
      <fill>
        <patternFill patternType="solid">
          <fgColor rgb="FFFCEDE2"/>
          <bgColor rgb="FF000000"/>
        </patternFill>
      </fill>
    </dxf>
    <dxf>
      <fill>
        <patternFill patternType="solid">
          <fgColor rgb="FFFCF0E5"/>
          <bgColor rgb="FF000000"/>
        </patternFill>
      </fill>
    </dxf>
    <dxf>
      <fill>
        <patternFill patternType="solid">
          <fgColor rgb="FFFDF1E7"/>
          <bgColor rgb="FF000000"/>
        </patternFill>
      </fill>
    </dxf>
    <dxf>
      <fill>
        <patternFill patternType="solid">
          <fgColor rgb="FFFDF7F3"/>
          <bgColor rgb="FF000000"/>
        </patternFill>
      </fill>
    </dxf>
    <dxf>
      <fill>
        <patternFill patternType="solid">
          <fgColor rgb="FFFEF9F4"/>
          <bgColor rgb="FF000000"/>
        </patternFill>
      </fill>
    </dxf>
    <dxf>
      <fill>
        <patternFill patternType="solid">
          <fgColor rgb="FFFEFAF6"/>
          <bgColor rgb="FF000000"/>
        </patternFill>
      </fill>
    </dxf>
    <dxf>
      <fill>
        <patternFill patternType="solid">
          <fgColor rgb="FFFEFAF8"/>
          <bgColor rgb="FF000000"/>
        </patternFill>
      </fill>
    </dxf>
    <dxf>
      <fill>
        <patternFill patternType="solid">
          <fgColor rgb="FFFEFCF9"/>
          <bgColor rgb="FF000000"/>
        </patternFill>
      </fill>
    </dxf>
    <dxf>
      <fill>
        <patternFill patternType="solid">
          <fgColor rgb="FFDBEBD5"/>
          <bgColor rgb="FF000000"/>
        </patternFill>
      </fill>
    </dxf>
    <dxf>
      <fill>
        <patternFill patternType="solid">
          <fgColor rgb="FFDDEDD8"/>
          <bgColor rgb="FF000000"/>
        </patternFill>
      </fill>
    </dxf>
    <dxf>
      <fill>
        <patternFill patternType="solid">
          <fgColor rgb="FFE7F2E4"/>
          <bgColor rgb="FF000000"/>
        </patternFill>
      </fill>
    </dxf>
    <dxf>
      <fill>
        <patternFill patternType="solid">
          <fgColor rgb="FFFCEADC"/>
          <bgColor rgb="FF000000"/>
        </patternFill>
      </fill>
    </dxf>
    <dxf>
      <fill>
        <patternFill patternType="solid">
          <fgColor rgb="FFFCEDE1"/>
          <bgColor rgb="FF000000"/>
        </patternFill>
      </fill>
    </dxf>
    <dxf>
      <fill>
        <patternFill patternType="solid">
          <fgColor rgb="FFFAC28A"/>
          <bgColor rgb="FF000000"/>
        </patternFill>
      </fill>
    </dxf>
    <dxf>
      <fill>
        <patternFill patternType="solid">
          <fgColor rgb="FFFAC38D"/>
          <bgColor rgb="FF000000"/>
        </patternFill>
      </fill>
    </dxf>
    <dxf>
      <fill>
        <patternFill patternType="solid">
          <fgColor rgb="FFFAC590"/>
          <bgColor rgb="FF000000"/>
        </patternFill>
      </fill>
    </dxf>
    <dxf>
      <fill>
        <patternFill patternType="solid">
          <fgColor rgb="FFFBC692"/>
          <bgColor rgb="FF000000"/>
        </patternFill>
      </fill>
    </dxf>
    <dxf>
      <fill>
        <patternFill patternType="solid">
          <fgColor rgb="FFFBC795"/>
          <bgColor rgb="FF000000"/>
        </patternFill>
      </fill>
    </dxf>
    <dxf>
      <fill>
        <patternFill patternType="solid">
          <fgColor rgb="FFFBC998"/>
          <bgColor rgb="FF000000"/>
        </patternFill>
      </fill>
    </dxf>
    <dxf>
      <fill>
        <patternFill patternType="solid">
          <fgColor rgb="FFFBCA9A"/>
          <bgColor rgb="FF000000"/>
        </patternFill>
      </fill>
    </dxf>
    <dxf>
      <fill>
        <patternFill patternType="solid">
          <fgColor rgb="FFFBCC9D"/>
          <bgColor rgb="FF000000"/>
        </patternFill>
      </fill>
    </dxf>
    <dxf>
      <fill>
        <patternFill patternType="solid">
          <fgColor rgb="FFFBCDA0"/>
          <bgColor rgb="FF000000"/>
        </patternFill>
      </fill>
    </dxf>
    <dxf>
      <fill>
        <patternFill patternType="solid">
          <fgColor rgb="FFFBCEA2"/>
          <bgColor rgb="FF000000"/>
        </patternFill>
      </fill>
    </dxf>
    <dxf>
      <fill>
        <patternFill patternType="solid">
          <fgColor rgb="FFFBD0A5"/>
          <bgColor rgb="FF000000"/>
        </patternFill>
      </fill>
    </dxf>
    <dxf>
      <fill>
        <patternFill patternType="solid">
          <fgColor rgb="FFFCD1A8"/>
          <bgColor rgb="FF000000"/>
        </patternFill>
      </fill>
    </dxf>
    <dxf>
      <fill>
        <patternFill patternType="solid">
          <fgColor rgb="FFFCD3AA"/>
          <bgColor rgb="FF000000"/>
        </patternFill>
      </fill>
    </dxf>
    <dxf>
      <fill>
        <patternFill patternType="solid">
          <fgColor rgb="FFFCD4AD"/>
          <bgColor rgb="FF000000"/>
        </patternFill>
      </fill>
    </dxf>
    <dxf>
      <fill>
        <patternFill patternType="solid">
          <fgColor rgb="FFFCD5B0"/>
          <bgColor rgb="FF000000"/>
        </patternFill>
      </fill>
    </dxf>
    <dxf>
      <fill>
        <patternFill patternType="solid">
          <fgColor rgb="FFFCD7B2"/>
          <bgColor rgb="FF000000"/>
        </patternFill>
      </fill>
    </dxf>
    <dxf>
      <fill>
        <patternFill patternType="solid">
          <fgColor rgb="FFFCD8B5"/>
          <bgColor rgb="FF000000"/>
        </patternFill>
      </fill>
    </dxf>
    <dxf>
      <fill>
        <patternFill patternType="solid">
          <fgColor rgb="FFFCDAB8"/>
          <bgColor rgb="FF000000"/>
        </patternFill>
      </fill>
    </dxf>
    <dxf>
      <fill>
        <patternFill patternType="solid">
          <fgColor rgb="FFFCDBBA"/>
          <bgColor rgb="FF000000"/>
        </patternFill>
      </fill>
    </dxf>
    <dxf>
      <fill>
        <patternFill patternType="solid">
          <fgColor rgb="FFFCDCBD"/>
          <bgColor rgb="FF000000"/>
        </patternFill>
      </fill>
    </dxf>
    <dxf>
      <fill>
        <patternFill patternType="solid">
          <fgColor rgb="FFFDDEC0"/>
          <bgColor rgb="FF000000"/>
        </patternFill>
      </fill>
    </dxf>
    <dxf>
      <fill>
        <patternFill patternType="solid">
          <fgColor rgb="FFFDDFC2"/>
          <bgColor rgb="FF000000"/>
        </patternFill>
      </fill>
    </dxf>
    <dxf>
      <fill>
        <patternFill patternType="solid">
          <fgColor rgb="FFFDE1C5"/>
          <bgColor rgb="FF000000"/>
        </patternFill>
      </fill>
    </dxf>
    <dxf>
      <fill>
        <patternFill patternType="solid">
          <fgColor rgb="FFFDE2C8"/>
          <bgColor rgb="FF000000"/>
        </patternFill>
      </fill>
    </dxf>
    <dxf>
      <fill>
        <patternFill patternType="solid">
          <fgColor rgb="FFFDE3CA"/>
          <bgColor rgb="FF000000"/>
        </patternFill>
      </fill>
    </dxf>
    <dxf>
      <fill>
        <patternFill patternType="solid">
          <fgColor rgb="FFFDE5CD"/>
          <bgColor rgb="FF000000"/>
        </patternFill>
      </fill>
    </dxf>
    <dxf>
      <fill>
        <patternFill patternType="solid">
          <fgColor rgb="FFFDE6D0"/>
          <bgColor rgb="FF000000"/>
        </patternFill>
      </fill>
    </dxf>
    <dxf>
      <fill>
        <patternFill patternType="solid">
          <fgColor rgb="FFFDE8D2"/>
          <bgColor rgb="FF000000"/>
        </patternFill>
      </fill>
    </dxf>
    <dxf>
      <fill>
        <patternFill patternType="solid">
          <fgColor rgb="FFFEE9D5"/>
          <bgColor rgb="FF000000"/>
        </patternFill>
      </fill>
    </dxf>
    <dxf>
      <fill>
        <patternFill patternType="solid">
          <fgColor rgb="FFFEEAD8"/>
          <bgColor rgb="FF000000"/>
        </patternFill>
      </fill>
    </dxf>
    <dxf>
      <fill>
        <patternFill patternType="solid">
          <fgColor rgb="FFFEECDA"/>
          <bgColor rgb="FF000000"/>
        </patternFill>
      </fill>
    </dxf>
    <dxf>
      <fill>
        <patternFill patternType="solid">
          <fgColor rgb="FFFEF1E5"/>
          <bgColor rgb="FF000000"/>
        </patternFill>
      </fill>
    </dxf>
    <dxf>
      <fill>
        <patternFill patternType="solid">
          <fgColor rgb="FFFABB7D"/>
          <bgColor rgb="FF000000"/>
        </patternFill>
      </fill>
    </dxf>
    <dxf>
      <fill>
        <patternFill patternType="solid">
          <fgColor rgb="FFFABE82"/>
          <bgColor rgb="FF000000"/>
        </patternFill>
      </fill>
    </dxf>
    <dxf>
      <fill>
        <patternFill patternType="solid">
          <fgColor rgb="FFFEEDDD"/>
          <bgColor rgb="FF000000"/>
        </patternFill>
      </fill>
    </dxf>
    <dxf>
      <fill>
        <patternFill patternType="solid">
          <fgColor rgb="FFFEEFE0"/>
          <bgColor rgb="FF000000"/>
        </patternFill>
      </fill>
    </dxf>
    <dxf>
      <fill>
        <patternFill patternType="solid">
          <fgColor rgb="FFFEF0E2"/>
          <bgColor rgb="FF000000"/>
        </patternFill>
      </fill>
    </dxf>
    <dxf>
      <fill>
        <patternFill patternType="solid">
          <fgColor rgb="FFFFF4EA"/>
          <bgColor rgb="FF000000"/>
        </patternFill>
      </fill>
    </dxf>
    <dxf>
      <fill>
        <patternFill patternType="solid">
          <fgColor rgb="FFFABC80"/>
          <bgColor rgb="FF000000"/>
        </patternFill>
      </fill>
    </dxf>
    <dxf>
      <fill>
        <patternFill patternType="solid">
          <fgColor rgb="FFFEF3E8"/>
          <bgColor rgb="FF000000"/>
        </patternFill>
      </fill>
    </dxf>
    <dxf>
      <fill>
        <patternFill patternType="solid">
          <fgColor rgb="FFFFF8F2"/>
          <bgColor rgb="FF000000"/>
        </patternFill>
      </fill>
    </dxf>
    <dxf>
      <fill>
        <patternFill patternType="solid">
          <fgColor rgb="FFFFFAF5"/>
          <bgColor rgb="FF000000"/>
        </patternFill>
      </fill>
    </dxf>
    <dxf>
      <fill>
        <patternFill patternType="solid">
          <fgColor rgb="FFFAC088"/>
          <bgColor rgb="FF000000"/>
        </patternFill>
      </fill>
    </dxf>
    <dxf>
      <fill>
        <patternFill patternType="solid">
          <fgColor rgb="FFFFF7F0"/>
          <bgColor rgb="FF000000"/>
        </patternFill>
      </fill>
    </dxf>
    <dxf>
      <fill>
        <patternFill patternType="solid">
          <fgColor rgb="FFFABF85"/>
          <bgColor rgb="FF000000"/>
        </patternFill>
      </fill>
    </dxf>
    <dxf>
      <fill>
        <patternFill patternType="solid">
          <fgColor rgb="FFFFF6ED"/>
          <bgColor rgb="FF000000"/>
        </patternFill>
      </fill>
    </dxf>
    <dxf>
      <fill>
        <patternFill patternType="solid">
          <fgColor rgb="FFFFFB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8C2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  <c r="B3" s="4" t="n">
        <v>4.5</v>
      </c>
    </row>
    <row r="4" customFormat="false" ht="17.15" hidden="false" customHeight="false" outlineLevel="0" collapsed="false">
      <c r="A4" s="3" t="s">
        <v>2</v>
      </c>
      <c r="B4" s="4" t="n">
        <v>0.3</v>
      </c>
    </row>
    <row r="5" customFormat="false" ht="17.15" hidden="false" customHeight="false" outlineLevel="0" collapsed="false">
      <c r="A5" s="5" t="s">
        <v>3</v>
      </c>
      <c r="B5" s="4" t="n">
        <v>5.2</v>
      </c>
    </row>
    <row r="6" customFormat="false" ht="17.15" hidden="false" customHeight="false" outlineLevel="0" collapsed="false">
      <c r="A6" s="5" t="s">
        <v>4</v>
      </c>
      <c r="B6" s="4" t="n">
        <v>3.8</v>
      </c>
    </row>
    <row r="7" customFormat="false" ht="15" hidden="false" customHeight="false" outlineLevel="0" collapsed="false">
      <c r="A7" s="3" t="s">
        <v>5</v>
      </c>
      <c r="B7" s="4" t="n">
        <v>5</v>
      </c>
    </row>
    <row r="8" customFormat="false" ht="17.15" hidden="false" customHeight="false" outlineLevel="0" collapsed="false">
      <c r="A8" s="5" t="s">
        <v>6</v>
      </c>
      <c r="B8" s="4" t="n">
        <v>4.8</v>
      </c>
    </row>
    <row r="9" customFormat="false" ht="17.15" hidden="false" customHeight="false" outlineLevel="0" collapsed="false">
      <c r="A9" s="6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7" t="s">
        <v>8</v>
      </c>
      <c r="B11" s="8" t="s">
        <v>9</v>
      </c>
    </row>
    <row r="12" customFormat="false" ht="17.15" hidden="false" customHeight="false" outlineLevel="0" collapsed="false">
      <c r="A12" s="2" t="s">
        <v>10</v>
      </c>
      <c r="B12" s="9" t="s">
        <v>11</v>
      </c>
    </row>
    <row r="13" customFormat="false" ht="17.15" hidden="false" customHeight="false" outlineLevel="0" collapsed="false">
      <c r="A13" s="2" t="s">
        <v>12</v>
      </c>
      <c r="B13" s="9" t="s">
        <v>13</v>
      </c>
    </row>
    <row r="14" customFormat="false" ht="17.15" hidden="false" customHeight="false" outlineLevel="0" collapsed="false">
      <c r="A14" s="2" t="s">
        <v>14</v>
      </c>
      <c r="B14" s="9" t="s">
        <v>15</v>
      </c>
    </row>
    <row r="15" customFormat="false" ht="17.15" hidden="false" customHeight="false" outlineLevel="0" collapsed="false">
      <c r="A15" s="2" t="s">
        <v>16</v>
      </c>
      <c r="B15" s="9" t="s">
        <v>17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3" t="s">
        <v>18</v>
      </c>
      <c r="B17" s="9" t="s">
        <v>19</v>
      </c>
    </row>
    <row r="18" customFormat="false" ht="17.15" hidden="false" customHeight="false" outlineLevel="0" collapsed="false">
      <c r="A18" s="3" t="s">
        <v>20</v>
      </c>
      <c r="B18" s="10" t="s">
        <v>21</v>
      </c>
    </row>
    <row r="19" customFormat="false" ht="32.8" hidden="false" customHeight="false" outlineLevel="0" collapsed="false">
      <c r="A19" s="3" t="s">
        <v>22</v>
      </c>
      <c r="B19" s="9" t="s">
        <v>23</v>
      </c>
    </row>
    <row r="20" customFormat="false" ht="15" hidden="false" customHeight="false" outlineLevel="0" collapsed="false">
      <c r="A20" s="2"/>
    </row>
    <row r="21" customFormat="false" ht="32.8" hidden="false" customHeight="false" outlineLevel="0" collapsed="false">
      <c r="A21" s="3" t="s">
        <v>24</v>
      </c>
      <c r="B21" s="10" t="s">
        <v>25</v>
      </c>
    </row>
    <row r="22" customFormat="false" ht="17.15" hidden="false" customHeight="false" outlineLevel="0" collapsed="false">
      <c r="A22" s="3" t="s">
        <v>26</v>
      </c>
      <c r="B22" s="9" t="s">
        <v>27</v>
      </c>
    </row>
    <row r="23" customFormat="false" ht="32.8" hidden="false" customHeight="false" outlineLevel="0" collapsed="false">
      <c r="A23" s="3" t="s">
        <v>28</v>
      </c>
      <c r="B23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true" outlineLevel="0" max="9" min="8" style="0" width="13"/>
  </cols>
  <sheetData>
    <row r="1" customFormat="false" ht="16.15" hidden="false" customHeight="false" outlineLevel="0" collapsed="false">
      <c r="A1" s="3" t="s">
        <v>30</v>
      </c>
      <c r="B1" s="11" t="s">
        <v>31</v>
      </c>
    </row>
    <row r="2" customFormat="false" ht="17.15" hidden="false" customHeight="false" outlineLevel="0" collapsed="false">
      <c r="A2" s="12" t="s">
        <v>32</v>
      </c>
    </row>
    <row r="4" customFormat="false" ht="15" hidden="false" customHeight="false" outlineLevel="0" collapsed="false">
      <c r="A4" s="3" t="s">
        <v>33</v>
      </c>
      <c r="B4" s="13" t="str">
        <f aca="false">INDEX('선수별 포지션'!$C$2:$C$242,MATCH($B$1,'선수별 포지션'!$A$2:$A$242,0))</f>
        <v>서울세일중학교</v>
      </c>
    </row>
    <row r="5" customFormat="false" ht="15" hidden="false" customHeight="false" outlineLevel="0" collapsed="false">
      <c r="A5" s="3" t="s">
        <v>34</v>
      </c>
      <c r="B5" s="14" t="n">
        <f aca="false">INDEX('선수별 포지션'!$D$2:$D$242,MATCH($B$1,'선수별 포지션'!$A$2:$A$242,0))</f>
        <v>46263</v>
      </c>
    </row>
    <row r="6" customFormat="false" ht="19.7" hidden="false" customHeight="false" outlineLevel="0" collapsed="false">
      <c r="A6" s="3" t="s">
        <v>35</v>
      </c>
      <c r="B6" s="15" t="str">
        <f aca="false">INDEX('선수별 포지션'!$W$2:$W$242,MATCH($B$1,'선수별 포지션'!$A$2:$A$242,0))</f>
        <v>A</v>
      </c>
    </row>
    <row r="7" customFormat="false" ht="17.35" hidden="false" customHeight="false" outlineLevel="0" collapsed="false">
      <c r="A7" s="3" t="s">
        <v>36</v>
      </c>
      <c r="B7" s="16" t="str">
        <f aca="false">INDEX('선수별 포지션'!$X$2:$X$242,MATCH($B$1,'선수별 포지션'!$A$2:$A$242,0))</f>
        <v>섬세한 준비형</v>
      </c>
    </row>
    <row r="8" customFormat="false" ht="17.15" hidden="false" customHeight="false" outlineLevel="0" collapsed="false">
      <c r="A8" s="3" t="s">
        <v>20</v>
      </c>
      <c r="B8" s="13" t="str">
        <f aca="false">INDEX('선수별 포지션'!$Y$2:$Y$242,MATCH($B$1,'선수별 포지션'!$A$2:$A$242,0))</f>
        <v>가장 높은 지표: 사회적 도움 활용</v>
      </c>
    </row>
    <row r="9" customFormat="false" ht="17.15" hidden="false" customHeight="false" outlineLevel="0" collapsed="false">
      <c r="A9" s="3" t="s">
        <v>37</v>
      </c>
      <c r="B9" s="13" t="str">
        <f aca="false">INDEX('선수별 포지션'!$Z$2:$Z$242,MATCH($B$1,'선수별 포지션'!$A$2:$A$242,0))</f>
        <v>실수 후 회복력</v>
      </c>
    </row>
    <row r="10" customFormat="false" ht="17.15" hidden="false" customHeight="false" outlineLevel="0" collapsed="false">
      <c r="A10" s="3" t="s">
        <v>26</v>
      </c>
      <c r="B10" s="13" t="str">
        <f aca="false">INDEX('선수별 포지션'!$AA$2:$AA$242,MATCH($B$1,'선수별 포지션'!$A$2:$A$242,0))</f>
        <v>로베르트 레반도프스키 · 제임스 밀너 · 마르틴 외데고르</v>
      </c>
    </row>
    <row r="11" customFormat="false" ht="17.15" hidden="false" customHeight="false" outlineLevel="0" collapsed="false">
      <c r="A11" s="5" t="s">
        <v>38</v>
      </c>
      <c r="B11" s="17" t="n">
        <f aca="false">INDEX('선수별 포지션'!$G$2:$G$242,MATCH($B$1,'선수별 포지션'!$A$2:$A$242,0))</f>
        <v>4.3</v>
      </c>
    </row>
    <row r="12" customFormat="false" ht="17.15" hidden="false" customHeight="false" outlineLevel="0" collapsed="false">
      <c r="A12" s="5" t="s">
        <v>39</v>
      </c>
      <c r="B12" s="17" t="n">
        <f aca="false">INDEX('선수별 포지션'!$Q$2:$Q$242,MATCH($B$1,'선수별 포지션'!$A$2:$A$242,0))</f>
        <v>4.6</v>
      </c>
    </row>
    <row r="13" customFormat="false" ht="17.15" hidden="false" customHeight="false" outlineLevel="0" collapsed="false">
      <c r="A13" s="5" t="s">
        <v>40</v>
      </c>
      <c r="B13" s="17" t="n">
        <f aca="false">INDEX('선수별 포지션'!$K$2:$K$242,MATCH($B$1,'선수별 포지션'!$A$2:$A$242,0))</f>
        <v>4.6</v>
      </c>
    </row>
    <row r="14" customFormat="false" ht="17.15" hidden="false" customHeight="false" outlineLevel="0" collapsed="false">
      <c r="A14" s="5" t="s">
        <v>41</v>
      </c>
      <c r="B14" s="17" t="n">
        <f aca="false">INDEX('선수별 포지션'!$N$2:$N$242,MATCH($B$1,'선수별 포지션'!$A$2:$A$242,0))</f>
        <v>4.6</v>
      </c>
    </row>
    <row r="15" customFormat="false" ht="17.15" hidden="false" customHeight="false" outlineLevel="0" collapsed="false">
      <c r="A15" s="5" t="s">
        <v>42</v>
      </c>
      <c r="B15" s="17" t="n">
        <f aca="false">INDEX('선수별 포지션'!$P$2:$P$242,MATCH($B$1,'선수별 포지션'!$A$2:$A$242,0))</f>
        <v>4.3</v>
      </c>
    </row>
    <row r="18" customFormat="false" ht="19.4" hidden="false" customHeight="false" outlineLevel="0" collapsed="false">
      <c r="A18" s="18" t="s">
        <v>43</v>
      </c>
    </row>
    <row r="19" customFormat="false" ht="17.15" hidden="false" customHeight="false" outlineLevel="0" collapsed="false">
      <c r="A19" s="19" t="s">
        <v>44</v>
      </c>
      <c r="B19" s="19" t="s">
        <v>24</v>
      </c>
      <c r="C19" s="19" t="s">
        <v>36</v>
      </c>
      <c r="D19" s="19" t="s">
        <v>45</v>
      </c>
    </row>
    <row r="20" customFormat="false" ht="15" hidden="false" customHeight="false" outlineLevel="0" collapsed="false">
      <c r="A20" s="20" t="n">
        <v>1</v>
      </c>
      <c r="B20" s="20" t="str">
        <f aca="false">INDEX($H$20:$H$27,MATCH(LARGE($I$20:$I$27,1),$I$20:$I$27,0))</f>
        <v>A</v>
      </c>
      <c r="C20" s="20" t="str">
        <f aca="false">INDEX('포지션 정의'!$B$2:$B$9,MATCH(B20,'포지션 정의'!$A$2:$A$9,0))</f>
        <v>섬세한 준비형</v>
      </c>
      <c r="D20" s="21" t="n">
        <f aca="false">ROUND(LARGE($I$20:$I$27,1),0)</f>
        <v>89</v>
      </c>
      <c r="H20" s="22" t="s">
        <v>46</v>
      </c>
      <c r="I20" s="22" t="n">
        <f aca="false">INDEX('선수별 포지션'!$AB$2:$AB$242,MATCH($B$1,'선수별 포지션'!$A$2:$A$242,0))-0/1000</f>
        <v>89</v>
      </c>
    </row>
    <row r="21" customFormat="false" ht="15" hidden="false" customHeight="false" outlineLevel="0" collapsed="false">
      <c r="A21" s="23" t="n">
        <v>2</v>
      </c>
      <c r="B21" s="23" t="str">
        <f aca="false">INDEX($H$20:$H$27,MATCH(LARGE($I$20:$I$27,2),$I$20:$I$27,0))</f>
        <v>F</v>
      </c>
      <c r="C21" s="23" t="str">
        <f aca="false">INDEX('포지션 정의'!$B$2:$B$9,MATCH(B21,'포지션 정의'!$A$2:$A$9,0))</f>
        <v>성실한 도전자형</v>
      </c>
      <c r="D21" s="24" t="n">
        <f aca="false">ROUND(LARGE($I$20:$I$27,2),0)</f>
        <v>88</v>
      </c>
      <c r="H21" s="22" t="s">
        <v>47</v>
      </c>
      <c r="I21" s="22" t="n">
        <f aca="false">INDEX('선수별 포지션'!$AC$2:$AC$242,MATCH($B$1,'선수별 포지션'!$A$2:$A$242,0))-1/1000</f>
        <v>83.999</v>
      </c>
    </row>
    <row r="22" customFormat="false" ht="15" hidden="false" customHeight="false" outlineLevel="0" collapsed="false">
      <c r="A22" s="23" t="n">
        <v>3</v>
      </c>
      <c r="B22" s="23" t="str">
        <f aca="false">INDEX($H$20:$H$27,MATCH(LARGE($I$20:$I$27,3),$I$20:$I$27,0))</f>
        <v>G</v>
      </c>
      <c r="C22" s="23" t="str">
        <f aca="false">INDEX('포지션 정의'!$B$2:$B$9,MATCH(B22,'포지션 정의'!$A$2:$A$9,0))</f>
        <v>스펀지 흡수형</v>
      </c>
      <c r="D22" s="24" t="n">
        <f aca="false">ROUND(LARGE($I$20:$I$27,3),0)</f>
        <v>88</v>
      </c>
      <c r="H22" s="22" t="s">
        <v>48</v>
      </c>
      <c r="I22" s="22" t="n">
        <f aca="false">INDEX('선수별 포지션'!$AD$2:$AD$242,MATCH($B$1,'선수별 포지션'!$A$2:$A$242,0))-2/1000</f>
        <v>82.998</v>
      </c>
    </row>
    <row r="23" customFormat="false" ht="15" hidden="false" customHeight="false" outlineLevel="0" collapsed="false">
      <c r="A23" s="23" t="n">
        <v>4</v>
      </c>
      <c r="B23" s="23" t="str">
        <f aca="false">INDEX($H$20:$H$27,MATCH(LARGE($I$20:$I$27,4),$I$20:$I$27,0))</f>
        <v>E</v>
      </c>
      <c r="C23" s="23" t="str">
        <f aca="false">INDEX('포지션 정의'!$B$2:$B$9,MATCH(B23,'포지션 정의'!$A$2:$A$9,0))</f>
        <v>오뚝이 회복형</v>
      </c>
      <c r="D23" s="24" t="n">
        <f aca="false">ROUND(LARGE($I$20:$I$27,4),0)</f>
        <v>87</v>
      </c>
      <c r="H23" s="22" t="s">
        <v>49</v>
      </c>
      <c r="I23" s="22" t="n">
        <f aca="false">INDEX('선수별 포지션'!$AE$2:$AE$242,MATCH($B$1,'선수별 포지션'!$A$2:$A$242,0))-3/1000</f>
        <v>81.997</v>
      </c>
    </row>
    <row r="24" customFormat="false" ht="15" hidden="false" customHeight="false" outlineLevel="0" collapsed="false">
      <c r="A24" s="23" t="n">
        <v>5</v>
      </c>
      <c r="B24" s="23" t="str">
        <f aca="false">INDEX($H$20:$H$27,MATCH(LARGE($I$20:$I$27,5),$I$20:$I$27,0))</f>
        <v>B</v>
      </c>
      <c r="C24" s="23" t="str">
        <f aca="false">INDEX('포지션 정의'!$B$2:$B$9,MATCH(B24,'포지션 정의'!$A$2:$A$9,0))</f>
        <v>책임감 설계자형</v>
      </c>
      <c r="D24" s="24" t="n">
        <f aca="false">ROUND(LARGE($I$20:$I$27,5),0)</f>
        <v>84</v>
      </c>
      <c r="H24" s="22" t="s">
        <v>50</v>
      </c>
      <c r="I24" s="22" t="n">
        <f aca="false">INDEX('선수별 포지션'!$AF$2:$AF$242,MATCH($B$1,'선수별 포지션'!$A$2:$A$242,0))-4/1000</f>
        <v>86.996</v>
      </c>
    </row>
    <row r="25" customFormat="false" ht="15" hidden="false" customHeight="false" outlineLevel="0" collapsed="false">
      <c r="A25" s="23" t="n">
        <v>6</v>
      </c>
      <c r="B25" s="23" t="str">
        <f aca="false">INDEX($H$20:$H$27,MATCH(LARGE($I$20:$I$27,6),$I$20:$I$27,0))</f>
        <v>C</v>
      </c>
      <c r="C25" s="23" t="str">
        <f aca="false">INDEX('포지션 정의'!$B$2:$B$9,MATCH(B25,'포지션 정의'!$A$2:$A$9,0))</f>
        <v>침착한 감각형</v>
      </c>
      <c r="D25" s="24" t="n">
        <f aca="false">ROUND(LARGE($I$20:$I$27,6),0)</f>
        <v>83</v>
      </c>
      <c r="H25" s="22" t="s">
        <v>51</v>
      </c>
      <c r="I25" s="22" t="n">
        <f aca="false">INDEX('선수별 포지션'!$AG$2:$AG$242,MATCH($B$1,'선수별 포지션'!$A$2:$A$242,0))-5/1000</f>
        <v>87.995</v>
      </c>
    </row>
    <row r="26" customFormat="false" ht="15" hidden="false" customHeight="false" outlineLevel="0" collapsed="false">
      <c r="A26" s="23" t="n">
        <v>7</v>
      </c>
      <c r="B26" s="23" t="str">
        <f aca="false">INDEX($H$20:$H$27,MATCH(LARGE($I$20:$I$27,7),$I$20:$I$27,0))</f>
        <v>H</v>
      </c>
      <c r="C26" s="23" t="str">
        <f aca="false">INDEX('포지션 정의'!$B$2:$B$9,MATCH(B26,'포지션 정의'!$A$2:$A$9,0))</f>
        <v>올라운드 밸런스형</v>
      </c>
      <c r="D26" s="24" t="n">
        <f aca="false">ROUND(LARGE($I$20:$I$27,7),0)</f>
        <v>83</v>
      </c>
      <c r="H26" s="22" t="s">
        <v>52</v>
      </c>
      <c r="I26" s="22" t="n">
        <f aca="false">INDEX('선수별 포지션'!$AH$2:$AH$242,MATCH($B$1,'선수별 포지션'!$A$2:$A$242,0))-6/1000</f>
        <v>87.994</v>
      </c>
    </row>
    <row r="27" customFormat="false" ht="15" hidden="false" customHeight="false" outlineLevel="0" collapsed="false">
      <c r="A27" s="23" t="n">
        <v>8</v>
      </c>
      <c r="B27" s="23" t="str">
        <f aca="false">INDEX($H$20:$H$27,MATCH(LARGE($I$20:$I$27,8),$I$20:$I$27,0))</f>
        <v>D</v>
      </c>
      <c r="C27" s="23" t="str">
        <f aca="false">INDEX('포지션 정의'!$B$2:$B$9,MATCH(B27,'포지션 정의'!$A$2:$A$9,0))</f>
        <v>실전 승부사형</v>
      </c>
      <c r="D27" s="24" t="n">
        <f aca="false">ROUND(LARGE($I$20:$I$27,8),0)</f>
        <v>82</v>
      </c>
      <c r="H27" s="22" t="s">
        <v>53</v>
      </c>
      <c r="I27" s="22" t="n">
        <f aca="false">INDEX('선수별 포지션'!$AI$2:$AI$242,MATCH($B$1,'선수별 포지션'!$A$2:$A$242,0))-7/1000</f>
        <v>82.993</v>
      </c>
    </row>
  </sheetData>
  <conditionalFormatting sqref="D20:D27">
    <cfRule type="dataBar" priority="2">
      <dataBar showValue="1" minLength="10" maxLength="90">
        <cfvo type="num" val="0"/>
        <cfvo type="num" val="100"/>
        <color rgb="FFF28C28"/>
      </dataBar>
      <extLst>
        <ext xmlns:x14="http://schemas.microsoft.com/office/spreadsheetml/2009/9/main" uri="{B025F937-C7B1-47D3-B67F-A62EFF666E3E}">
          <x14:id>{9A86A9F0-E424-4BAD-BC96-22C42A481CBF}</x14:id>
        </ext>
      </extLst>
    </cfRule>
  </conditionalFormatting>
  <dataValidations count="1">
    <dataValidation allowBlank="false" errorStyle="stop" operator="between" showDropDown="false" showErrorMessage="false" showInputMessage="false" sqref="B1" type="list">
      <formula1>'선수별 포지션'!$A$2:$A$242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86A9F0-E424-4BAD-BC96-22C42A481CBF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F28C28"/>
              <x14:axisColor rgb="FF000000"/>
            </x14:dataBar>
          </x14:cfRule>
          <xm:sqref>D20:D27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40"/>
    <col collapsed="false" customWidth="true" hidden="false" outlineLevel="0" max="10" min="10" style="0" width="36"/>
    <col collapsed="false" customWidth="true" hidden="false" outlineLevel="0" max="11" min="11" style="0" width="40"/>
    <col collapsed="false" customWidth="true" hidden="false" outlineLevel="0" max="12" min="12" style="0" width="24"/>
    <col collapsed="false" customWidth="true" hidden="false" outlineLevel="0" max="13" min="13" style="0" width="48"/>
    <col collapsed="false" customWidth="true" hidden="false" outlineLevel="0" max="16" min="14" style="0" width="9"/>
  </cols>
  <sheetData>
    <row r="1" customFormat="false" ht="42" hidden="false" customHeight="true" outlineLevel="0" collapsed="false">
      <c r="A1" s="25" t="s">
        <v>24</v>
      </c>
      <c r="B1" s="25" t="s">
        <v>36</v>
      </c>
      <c r="C1" s="25" t="s">
        <v>54</v>
      </c>
      <c r="D1" s="25" t="s">
        <v>55</v>
      </c>
      <c r="E1" s="25" t="s">
        <v>56</v>
      </c>
      <c r="F1" s="25" t="s">
        <v>57</v>
      </c>
      <c r="G1" s="25" t="s">
        <v>58</v>
      </c>
      <c r="H1" s="25" t="s">
        <v>59</v>
      </c>
      <c r="I1" s="25" t="s">
        <v>60</v>
      </c>
      <c r="J1" s="25" t="s">
        <v>61</v>
      </c>
      <c r="K1" s="25" t="s">
        <v>62</v>
      </c>
      <c r="L1" s="26" t="s">
        <v>63</v>
      </c>
      <c r="M1" s="26" t="s">
        <v>64</v>
      </c>
      <c r="N1" s="25" t="s">
        <v>65</v>
      </c>
      <c r="O1" s="25" t="s">
        <v>66</v>
      </c>
      <c r="P1" s="25" t="s">
        <v>67</v>
      </c>
    </row>
    <row r="2" customFormat="false" ht="124.5" hidden="false" customHeight="true" outlineLevel="0" collapsed="false">
      <c r="A2" s="27" t="s">
        <v>46</v>
      </c>
      <c r="B2" s="28" t="s">
        <v>68</v>
      </c>
      <c r="C2" s="29" t="s">
        <v>69</v>
      </c>
      <c r="D2" s="29" t="s">
        <v>70</v>
      </c>
      <c r="E2" s="30" t="s">
        <v>71</v>
      </c>
      <c r="F2" s="29" t="n">
        <f aca="false">COUNTIF('선수별 포지션'!$W$2:$W$242,A2)</f>
        <v>35</v>
      </c>
      <c r="G2" s="31" t="n">
        <f aca="false">F2/SUM($F$2:$F$9)</f>
        <v>0.145228215767635</v>
      </c>
      <c r="H2" s="32" t="s">
        <v>72</v>
      </c>
      <c r="I2" s="33" t="s">
        <v>73</v>
      </c>
      <c r="J2" s="33" t="s">
        <v>74</v>
      </c>
      <c r="K2" s="33" t="s">
        <v>75</v>
      </c>
      <c r="L2" s="34" t="s">
        <v>76</v>
      </c>
      <c r="M2" s="32" t="s">
        <v>77</v>
      </c>
      <c r="N2" s="29" t="n">
        <f aca="false">IF(MID($D2,1,1)="H",'판정 기준'!$B$5,'판정 기준'!$B$6)</f>
        <v>3.8</v>
      </c>
      <c r="O2" s="29" t="n">
        <f aca="false">IF(MID($D2,2,1)="H",'판정 기준'!$B$5,'판정 기준'!$B$6)</f>
        <v>5.2</v>
      </c>
      <c r="P2" s="29" t="n">
        <f aca="false">IF(MID($D2,3,1)="H",'판정 기준'!$B$5,'판정 기준'!$B$6)</f>
        <v>3.8</v>
      </c>
    </row>
    <row r="3" customFormat="false" ht="124.5" hidden="false" customHeight="true" outlineLevel="0" collapsed="false">
      <c r="A3" s="27" t="s">
        <v>47</v>
      </c>
      <c r="B3" s="28" t="s">
        <v>78</v>
      </c>
      <c r="C3" s="29" t="s">
        <v>79</v>
      </c>
      <c r="D3" s="29" t="s">
        <v>80</v>
      </c>
      <c r="E3" s="30" t="s">
        <v>81</v>
      </c>
      <c r="F3" s="29" t="n">
        <f aca="false">COUNTIF('선수별 포지션'!$W$2:$W$242,A3)</f>
        <v>13</v>
      </c>
      <c r="G3" s="31" t="n">
        <f aca="false">F3/SUM($F$2:$F$9)</f>
        <v>0.053941908713693</v>
      </c>
      <c r="H3" s="32" t="s">
        <v>82</v>
      </c>
      <c r="I3" s="33" t="s">
        <v>83</v>
      </c>
      <c r="J3" s="33" t="s">
        <v>84</v>
      </c>
      <c r="K3" s="33" t="s">
        <v>85</v>
      </c>
      <c r="L3" s="34" t="s">
        <v>86</v>
      </c>
      <c r="M3" s="32" t="s">
        <v>87</v>
      </c>
      <c r="N3" s="29" t="n">
        <f aca="false">IF(MID($D3,1,1)="H",'판정 기준'!$B$5,'판정 기준'!$B$6)</f>
        <v>5.2</v>
      </c>
      <c r="O3" s="29" t="n">
        <f aca="false">IF(MID($D3,2,1)="H",'판정 기준'!$B$5,'판정 기준'!$B$6)</f>
        <v>5.2</v>
      </c>
      <c r="P3" s="29" t="n">
        <f aca="false">IF(MID($D3,3,1)="H",'판정 기준'!$B$5,'판정 기준'!$B$6)</f>
        <v>3.8</v>
      </c>
    </row>
    <row r="4" customFormat="false" ht="124.5" hidden="false" customHeight="true" outlineLevel="0" collapsed="false">
      <c r="A4" s="27" t="s">
        <v>48</v>
      </c>
      <c r="B4" s="28" t="s">
        <v>88</v>
      </c>
      <c r="C4" s="29" t="s">
        <v>89</v>
      </c>
      <c r="D4" s="29" t="s">
        <v>90</v>
      </c>
      <c r="E4" s="30" t="s">
        <v>91</v>
      </c>
      <c r="F4" s="29" t="n">
        <f aca="false">COUNTIF('선수별 포지션'!$W$2:$W$242,A4)</f>
        <v>6</v>
      </c>
      <c r="G4" s="31" t="n">
        <f aca="false">F4/SUM($F$2:$F$9)</f>
        <v>0.024896265560166</v>
      </c>
      <c r="H4" s="32" t="s">
        <v>92</v>
      </c>
      <c r="I4" s="33" t="s">
        <v>93</v>
      </c>
      <c r="J4" s="33" t="s">
        <v>94</v>
      </c>
      <c r="K4" s="33" t="s">
        <v>95</v>
      </c>
      <c r="L4" s="34" t="s">
        <v>96</v>
      </c>
      <c r="M4" s="32" t="s">
        <v>97</v>
      </c>
      <c r="N4" s="29" t="n">
        <f aca="false">IF(MID($D4,1,1)="H",'판정 기준'!$B$5,'판정 기준'!$B$6)</f>
        <v>5.2</v>
      </c>
      <c r="O4" s="29" t="n">
        <f aca="false">IF(MID($D4,2,1)="H",'판정 기준'!$B$5,'판정 기준'!$B$6)</f>
        <v>3.8</v>
      </c>
      <c r="P4" s="29" t="n">
        <f aca="false">IF(MID($D4,3,1)="H",'판정 기준'!$B$5,'판정 기준'!$B$6)</f>
        <v>3.8</v>
      </c>
    </row>
    <row r="5" customFormat="false" ht="124.5" hidden="false" customHeight="true" outlineLevel="0" collapsed="false">
      <c r="A5" s="27" t="s">
        <v>49</v>
      </c>
      <c r="B5" s="28" t="s">
        <v>98</v>
      </c>
      <c r="C5" s="29" t="s">
        <v>99</v>
      </c>
      <c r="D5" s="29" t="s">
        <v>100</v>
      </c>
      <c r="E5" s="30" t="s">
        <v>101</v>
      </c>
      <c r="F5" s="29" t="n">
        <f aca="false">COUNTIF('선수별 포지션'!$W$2:$W$242,A5)</f>
        <v>29</v>
      </c>
      <c r="G5" s="31" t="n">
        <f aca="false">F5/SUM($F$2:$F$9)</f>
        <v>0.120331950207469</v>
      </c>
      <c r="H5" s="32" t="s">
        <v>102</v>
      </c>
      <c r="I5" s="33" t="s">
        <v>103</v>
      </c>
      <c r="J5" s="33" t="s">
        <v>104</v>
      </c>
      <c r="K5" s="33" t="s">
        <v>105</v>
      </c>
      <c r="L5" s="34" t="s">
        <v>106</v>
      </c>
      <c r="M5" s="32" t="s">
        <v>107</v>
      </c>
      <c r="N5" s="29" t="n">
        <f aca="false">IF(MID($D5,1,1)="H",'판정 기준'!$B$5,'판정 기준'!$B$6)</f>
        <v>5.2</v>
      </c>
      <c r="O5" s="29" t="n">
        <f aca="false">IF(MID($D5,2,1)="H",'판정 기준'!$B$5,'판정 기준'!$B$6)</f>
        <v>3.8</v>
      </c>
      <c r="P5" s="29" t="n">
        <f aca="false">IF(MID($D5,3,1)="H",'판정 기준'!$B$5,'판정 기준'!$B$6)</f>
        <v>5.2</v>
      </c>
    </row>
    <row r="6" customFormat="false" ht="124.5" hidden="false" customHeight="true" outlineLevel="0" collapsed="false">
      <c r="A6" s="27" t="s">
        <v>50</v>
      </c>
      <c r="B6" s="28" t="s">
        <v>108</v>
      </c>
      <c r="C6" s="29" t="s">
        <v>109</v>
      </c>
      <c r="D6" s="29" t="s">
        <v>110</v>
      </c>
      <c r="E6" s="30" t="s">
        <v>111</v>
      </c>
      <c r="F6" s="29" t="n">
        <f aca="false">COUNTIF('선수별 포지션'!$W$2:$W$242,A6)</f>
        <v>23</v>
      </c>
      <c r="G6" s="31" t="n">
        <f aca="false">F6/SUM($F$2:$F$9)</f>
        <v>0.0954356846473029</v>
      </c>
      <c r="H6" s="32" t="s">
        <v>112</v>
      </c>
      <c r="I6" s="33" t="s">
        <v>113</v>
      </c>
      <c r="J6" s="33" t="s">
        <v>114</v>
      </c>
      <c r="K6" s="33" t="s">
        <v>115</v>
      </c>
      <c r="L6" s="34" t="s">
        <v>116</v>
      </c>
      <c r="M6" s="32" t="s">
        <v>117</v>
      </c>
      <c r="N6" s="29" t="n">
        <f aca="false">IF(MID($D6,1,1)="H",'판정 기준'!$B$5,'판정 기준'!$B$6)</f>
        <v>3.8</v>
      </c>
      <c r="O6" s="29" t="n">
        <f aca="false">IF(MID($D6,2,1)="H",'판정 기준'!$B$5,'판정 기준'!$B$6)</f>
        <v>3.8</v>
      </c>
      <c r="P6" s="29" t="n">
        <f aca="false">IF(MID($D6,3,1)="H",'판정 기준'!$B$5,'판정 기준'!$B$6)</f>
        <v>5.2</v>
      </c>
    </row>
    <row r="7" customFormat="false" ht="124.5" hidden="false" customHeight="true" outlineLevel="0" collapsed="false">
      <c r="A7" s="27" t="s">
        <v>51</v>
      </c>
      <c r="B7" s="28" t="s">
        <v>118</v>
      </c>
      <c r="C7" s="29" t="s">
        <v>119</v>
      </c>
      <c r="D7" s="29" t="s">
        <v>120</v>
      </c>
      <c r="E7" s="30" t="s">
        <v>121</v>
      </c>
      <c r="F7" s="29" t="n">
        <f aca="false">COUNTIF('선수별 포지션'!$W$2:$W$242,A7)</f>
        <v>18</v>
      </c>
      <c r="G7" s="31" t="n">
        <f aca="false">F7/SUM($F$2:$F$9)</f>
        <v>0.0746887966804979</v>
      </c>
      <c r="H7" s="32" t="s">
        <v>122</v>
      </c>
      <c r="I7" s="33" t="s">
        <v>123</v>
      </c>
      <c r="J7" s="33" t="s">
        <v>124</v>
      </c>
      <c r="K7" s="33" t="s">
        <v>125</v>
      </c>
      <c r="L7" s="34" t="s">
        <v>126</v>
      </c>
      <c r="M7" s="32" t="s">
        <v>127</v>
      </c>
      <c r="N7" s="29" t="n">
        <f aca="false">IF(MID($D7,1,1)="H",'판정 기준'!$B$5,'판정 기준'!$B$6)</f>
        <v>3.8</v>
      </c>
      <c r="O7" s="29" t="n">
        <f aca="false">IF(MID($D7,2,1)="H",'판정 기준'!$B$5,'판정 기준'!$B$6)</f>
        <v>5.2</v>
      </c>
      <c r="P7" s="29" t="n">
        <f aca="false">IF(MID($D7,3,1)="H",'판정 기준'!$B$5,'판정 기준'!$B$6)</f>
        <v>5.2</v>
      </c>
    </row>
    <row r="8" customFormat="false" ht="124.5" hidden="false" customHeight="true" outlineLevel="0" collapsed="false">
      <c r="A8" s="27" t="s">
        <v>52</v>
      </c>
      <c r="B8" s="28" t="s">
        <v>128</v>
      </c>
      <c r="C8" s="29" t="s">
        <v>129</v>
      </c>
      <c r="D8" s="29" t="s">
        <v>130</v>
      </c>
      <c r="E8" s="30" t="s">
        <v>131</v>
      </c>
      <c r="F8" s="29" t="n">
        <f aca="false">COUNTIF('선수별 포지션'!$W$2:$W$242,A8)</f>
        <v>48</v>
      </c>
      <c r="G8" s="31" t="n">
        <f aca="false">F8/SUM($F$2:$F$9)</f>
        <v>0.199170124481328</v>
      </c>
      <c r="H8" s="32" t="s">
        <v>132</v>
      </c>
      <c r="I8" s="33" t="s">
        <v>133</v>
      </c>
      <c r="J8" s="33" t="s">
        <v>134</v>
      </c>
      <c r="K8" s="33" t="s">
        <v>135</v>
      </c>
      <c r="L8" s="34" t="s">
        <v>136</v>
      </c>
      <c r="M8" s="32" t="s">
        <v>137</v>
      </c>
      <c r="N8" s="29" t="n">
        <f aca="false">IF(MID($D8,1,1)="H",'판정 기준'!$B$5,'판정 기준'!$B$6)</f>
        <v>3.8</v>
      </c>
      <c r="O8" s="29" t="n">
        <f aca="false">IF(MID($D8,2,1)="H",'판정 기준'!$B$5,'판정 기준'!$B$6)</f>
        <v>3.8</v>
      </c>
      <c r="P8" s="29" t="n">
        <f aca="false">IF(MID($D8,3,1)="H",'판정 기준'!$B$5,'판정 기준'!$B$6)</f>
        <v>3.8</v>
      </c>
    </row>
    <row r="9" customFormat="false" ht="124.5" hidden="false" customHeight="true" outlineLevel="0" collapsed="false">
      <c r="A9" s="27" t="s">
        <v>53</v>
      </c>
      <c r="B9" s="28" t="s">
        <v>138</v>
      </c>
      <c r="C9" s="29" t="s">
        <v>139</v>
      </c>
      <c r="D9" s="29" t="s">
        <v>140</v>
      </c>
      <c r="E9" s="30" t="s">
        <v>141</v>
      </c>
      <c r="F9" s="29" t="n">
        <f aca="false">COUNTIF('선수별 포지션'!$W$2:$W$242,A9)</f>
        <v>69</v>
      </c>
      <c r="G9" s="31" t="n">
        <f aca="false">F9/SUM($F$2:$F$9)</f>
        <v>0.286307053941909</v>
      </c>
      <c r="H9" s="32" t="s">
        <v>142</v>
      </c>
      <c r="I9" s="33" t="s">
        <v>143</v>
      </c>
      <c r="J9" s="33" t="s">
        <v>144</v>
      </c>
      <c r="K9" s="33" t="s">
        <v>145</v>
      </c>
      <c r="L9" s="34" t="s">
        <v>146</v>
      </c>
      <c r="M9" s="32" t="s">
        <v>147</v>
      </c>
      <c r="N9" s="29" t="n">
        <f aca="false">IF(MID($D9,1,1)="H",'판정 기준'!$B$5,'판정 기준'!$B$6)</f>
        <v>5.2</v>
      </c>
      <c r="O9" s="29" t="n">
        <f aca="false">IF(MID($D9,2,1)="H",'판정 기준'!$B$5,'판정 기준'!$B$6)</f>
        <v>5.2</v>
      </c>
      <c r="P9" s="29" t="n">
        <f aca="false">IF(MID($D9,3,1)="H",'판정 기준'!$B$5,'판정 기준'!$B$6)</f>
        <v>5.2</v>
      </c>
    </row>
    <row r="10" customFormat="false" ht="15" hidden="false" customHeight="false" outlineLevel="0" collapsed="false">
      <c r="E10" s="3" t="s">
        <v>148</v>
      </c>
      <c r="F10" s="3" t="n">
        <f aca="false">SUM(F2:F9)</f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19" min="3" style="0" width="11"/>
  </cols>
  <sheetData>
    <row r="1" customFormat="false" ht="42" hidden="false" customHeight="true" outlineLevel="0" collapsed="false">
      <c r="A1" s="25" t="s">
        <v>24</v>
      </c>
      <c r="B1" s="25" t="s">
        <v>36</v>
      </c>
      <c r="C1" s="25" t="s">
        <v>57</v>
      </c>
      <c r="D1" s="35" t="s">
        <v>149</v>
      </c>
      <c r="E1" s="25" t="s">
        <v>150</v>
      </c>
      <c r="F1" s="25" t="s">
        <v>151</v>
      </c>
      <c r="G1" s="25" t="s">
        <v>152</v>
      </c>
      <c r="H1" s="25" t="s">
        <v>153</v>
      </c>
      <c r="I1" s="25" t="s">
        <v>154</v>
      </c>
      <c r="J1" s="25" t="s">
        <v>155</v>
      </c>
      <c r="K1" s="25" t="s">
        <v>156</v>
      </c>
      <c r="L1" s="25" t="s">
        <v>157</v>
      </c>
      <c r="M1" s="25" t="s">
        <v>158</v>
      </c>
      <c r="N1" s="25" t="s">
        <v>159</v>
      </c>
      <c r="O1" s="25" t="s">
        <v>160</v>
      </c>
      <c r="P1" s="25" t="s">
        <v>161</v>
      </c>
      <c r="Q1" s="25" t="s">
        <v>162</v>
      </c>
      <c r="R1" s="25" t="s">
        <v>163</v>
      </c>
      <c r="S1" s="25" t="s">
        <v>164</v>
      </c>
    </row>
    <row r="2" customFormat="false" ht="15" hidden="false" customHeight="false" outlineLevel="0" collapsed="false">
      <c r="A2" s="20" t="s">
        <v>46</v>
      </c>
      <c r="B2" s="36" t="s">
        <v>68</v>
      </c>
      <c r="C2" s="23" t="n">
        <f aca="false">COUNTIF('선수별 포지션'!$W$2:$W$242,A2)</f>
        <v>35</v>
      </c>
      <c r="D2" s="37" t="n">
        <f aca="false">IFERROR(AVERAGEIFS('선수별 포지션'!$F$2:$F$242,'선수별 포지션'!$W$2:$W$242,$A2),"-")</f>
        <v>4.01142857142857</v>
      </c>
      <c r="E2" s="37" t="n">
        <f aca="false">IFERROR(AVERAGEIFS('선수별 포지션'!$S$2:$S$242,'선수별 포지션'!$W$2:$W$242,$A2),"-")</f>
        <v>3.66714285714286</v>
      </c>
      <c r="F2" s="37" t="n">
        <f aca="false">IFERROR(AVERAGEIFS('선수별 포지션'!$T$2:$T$242,'선수별 포지션'!$W$2:$W$242,$A2),"-")</f>
        <v>4.95809523809524</v>
      </c>
      <c r="G2" s="37" t="n">
        <f aca="false">IFERROR(AVERAGEIFS('선수별 포지션'!$U$2:$U$242,'선수별 포지션'!$W$2:$W$242,$A2),"-")</f>
        <v>3.59714285714286</v>
      </c>
      <c r="H2" s="37" t="n">
        <f aca="false">IFERROR(AVERAGEIFS('선수별 포지션'!$G$2:$G$242,'선수별 포지션'!$W$2:$W$242,$A2),"-")</f>
        <v>3.60571428571429</v>
      </c>
      <c r="I2" s="37" t="n">
        <f aca="false">IFERROR(AVERAGEIFS('선수별 포지션'!$H$2:$H$242,'선수별 포지션'!$W$2:$W$242,$A2),"-")</f>
        <v>3.48857142857143</v>
      </c>
      <c r="J2" s="37" t="n">
        <f aca="false">IFERROR(AVERAGEIFS('선수별 포지션'!$I$2:$I$242,'선수별 포지션'!$W$2:$W$242,$A2),"-")</f>
        <v>4.15428571428572</v>
      </c>
      <c r="K2" s="37" t="n">
        <f aca="false">IFERROR(AVERAGEIFS('선수별 포지션'!$J$2:$J$242,'선수별 포지션'!$W$2:$W$242,$A2),"-")</f>
        <v>3.42</v>
      </c>
      <c r="L2" s="37" t="n">
        <f aca="false">IFERROR(AVERAGEIFS('선수별 포지션'!$K$2:$K$242,'선수별 포지션'!$W$2:$W$242,$A2),"-")</f>
        <v>4.96</v>
      </c>
      <c r="M2" s="37" t="n">
        <f aca="false">IFERROR(AVERAGEIFS('선수별 포지션'!$L$2:$L$242,'선수별 포지션'!$W$2:$W$242,$A2),"-")</f>
        <v>4.86571428571429</v>
      </c>
      <c r="N2" s="37" t="n">
        <f aca="false">IFERROR(AVERAGEIFS('선수별 포지션'!$M$2:$M$242,'선수별 포지션'!$W$2:$W$242,$A2),"-")</f>
        <v>5.04857142857143</v>
      </c>
      <c r="O2" s="37" t="n">
        <f aca="false">IFERROR(AVERAGEIFS('선수별 포지션'!$N$2:$N$242,'선수별 포지션'!$W$2:$W$242,$A2),"-")</f>
        <v>3.53428571428571</v>
      </c>
      <c r="P2" s="37" t="n">
        <f aca="false">IFERROR(AVERAGEIFS('선수별 포지션'!$O$2:$O$242,'선수별 포지션'!$W$2:$W$242,$A2),"-")</f>
        <v>3.66</v>
      </c>
      <c r="Q2" s="37" t="n">
        <f aca="false">IFERROR(AVERAGEIFS('선수별 포지션'!$P$2:$P$242,'선수별 포지션'!$W$2:$W$242,$A2),"-")</f>
        <v>4.06571428571429</v>
      </c>
      <c r="R2" s="37" t="n">
        <f aca="false">IFERROR(AVERAGEIFS('선수별 포지션'!$Q$2:$Q$242,'선수별 포지션'!$W$2:$W$242,$A2),"-")</f>
        <v>4.73714285714286</v>
      </c>
      <c r="S2" s="37" t="n">
        <f aca="false">IFERROR(AVERAGEIFS('선수별 포지션'!$R$2:$R$242,'선수별 포지션'!$W$2:$W$242,$A2),"-")</f>
        <v>5.30285714285714</v>
      </c>
    </row>
    <row r="3" customFormat="false" ht="15" hidden="false" customHeight="false" outlineLevel="0" collapsed="false">
      <c r="A3" s="20" t="s">
        <v>47</v>
      </c>
      <c r="B3" s="36" t="s">
        <v>78</v>
      </c>
      <c r="C3" s="23" t="n">
        <f aca="false">COUNTIF('선수별 포지션'!$W$2:$W$242,A3)</f>
        <v>13</v>
      </c>
      <c r="D3" s="37" t="n">
        <f aca="false">IFERROR(AVERAGEIFS('선수별 포지션'!$F$2:$F$242,'선수별 포지션'!$W$2:$W$242,$A3),"-")</f>
        <v>4.75384615384615</v>
      </c>
      <c r="E3" s="37" t="n">
        <f aca="false">IFERROR(AVERAGEIFS('선수별 포지션'!$S$2:$S$242,'선수별 포지션'!$W$2:$W$242,$A3),"-")</f>
        <v>5.04038461538462</v>
      </c>
      <c r="F3" s="37" t="n">
        <f aca="false">IFERROR(AVERAGEIFS('선수별 포지션'!$T$2:$T$242,'선수별 포지션'!$W$2:$W$242,$A3),"-")</f>
        <v>5.16666666666667</v>
      </c>
      <c r="G3" s="37" t="n">
        <f aca="false">IFERROR(AVERAGEIFS('선수별 포지션'!$U$2:$U$242,'선수별 포지션'!$W$2:$W$242,$A3),"-")</f>
        <v>3.90384615384615</v>
      </c>
      <c r="H3" s="37" t="n">
        <f aca="false">IFERROR(AVERAGEIFS('선수별 포지션'!$G$2:$G$242,'선수별 포지션'!$W$2:$W$242,$A3),"-")</f>
        <v>5.00769230769231</v>
      </c>
      <c r="I3" s="37" t="n">
        <f aca="false">IFERROR(AVERAGEIFS('선수별 포지션'!$H$2:$H$242,'선수별 포지션'!$W$2:$W$242,$A3),"-")</f>
        <v>5.01538461538462</v>
      </c>
      <c r="J3" s="37" t="n">
        <f aca="false">IFERROR(AVERAGEIFS('선수별 포지션'!$I$2:$I$242,'선수별 포지션'!$W$2:$W$242,$A3),"-")</f>
        <v>5.24615384615385</v>
      </c>
      <c r="K3" s="37" t="n">
        <f aca="false">IFERROR(AVERAGEIFS('선수별 포지션'!$J$2:$J$242,'선수별 포지션'!$W$2:$W$242,$A3),"-")</f>
        <v>4.89230769230769</v>
      </c>
      <c r="L3" s="37" t="n">
        <f aca="false">IFERROR(AVERAGEIFS('선수별 포지션'!$K$2:$K$242,'선수별 포지션'!$W$2:$W$242,$A3),"-")</f>
        <v>5.16153846153846</v>
      </c>
      <c r="M3" s="37" t="n">
        <f aca="false">IFERROR(AVERAGEIFS('선수별 포지션'!$L$2:$L$242,'선수별 포지션'!$W$2:$W$242,$A3),"-")</f>
        <v>5.16923076923077</v>
      </c>
      <c r="N3" s="37" t="n">
        <f aca="false">IFERROR(AVERAGEIFS('선수별 포지션'!$M$2:$M$242,'선수별 포지션'!$W$2:$W$242,$A3),"-")</f>
        <v>5.16923076923077</v>
      </c>
      <c r="O3" s="37" t="n">
        <f aca="false">IFERROR(AVERAGEIFS('선수별 포지션'!$N$2:$N$242,'선수별 포지션'!$W$2:$W$242,$A3),"-")</f>
        <v>3.81538461538462</v>
      </c>
      <c r="P3" s="37" t="n">
        <f aca="false">IFERROR(AVERAGEIFS('선수별 포지션'!$O$2:$O$242,'선수별 포지션'!$W$2:$W$242,$A3),"-")</f>
        <v>3.99230769230769</v>
      </c>
      <c r="Q3" s="37" t="n">
        <f aca="false">IFERROR(AVERAGEIFS('선수별 포지션'!$P$2:$P$242,'선수별 포지션'!$W$2:$W$242,$A3),"-")</f>
        <v>4.74615384615385</v>
      </c>
      <c r="R3" s="37" t="n">
        <f aca="false">IFERROR(AVERAGEIFS('선수별 포지션'!$Q$2:$Q$242,'선수별 포지션'!$W$2:$W$242,$A3),"-")</f>
        <v>5.47692307692308</v>
      </c>
      <c r="S3" s="37" t="n">
        <f aca="false">IFERROR(AVERAGEIFS('선수별 포지션'!$R$2:$R$242,'선수별 포지션'!$W$2:$W$242,$A3),"-")</f>
        <v>5.82307692307692</v>
      </c>
    </row>
    <row r="4" customFormat="false" ht="15" hidden="false" customHeight="false" outlineLevel="0" collapsed="false">
      <c r="A4" s="20" t="s">
        <v>48</v>
      </c>
      <c r="B4" s="36" t="s">
        <v>88</v>
      </c>
      <c r="C4" s="23" t="n">
        <f aca="false">COUNTIF('선수별 포지션'!$W$2:$W$242,A4)</f>
        <v>6</v>
      </c>
      <c r="D4" s="37" t="n">
        <f aca="false">IFERROR(AVERAGEIFS('선수별 포지션'!$F$2:$F$242,'선수별 포지션'!$W$2:$W$242,$A4),"-")</f>
        <v>4.16666666666667</v>
      </c>
      <c r="E4" s="37" t="n">
        <f aca="false">IFERROR(AVERAGEIFS('선수별 포지션'!$S$2:$S$242,'선수별 포지션'!$W$2:$W$242,$A4),"-")</f>
        <v>4.79583333333333</v>
      </c>
      <c r="F4" s="37" t="n">
        <f aca="false">IFERROR(AVERAGEIFS('선수별 포지션'!$T$2:$T$242,'선수별 포지션'!$W$2:$W$242,$A4),"-")</f>
        <v>3.88333333333333</v>
      </c>
      <c r="G4" s="37" t="n">
        <f aca="false">IFERROR(AVERAGEIFS('선수별 포지션'!$U$2:$U$242,'선수별 포지션'!$W$2:$W$242,$A4),"-")</f>
        <v>4.01666666666667</v>
      </c>
      <c r="H4" s="37" t="n">
        <f aca="false">IFERROR(AVERAGEIFS('선수별 포지션'!$G$2:$G$242,'선수별 포지션'!$W$2:$W$242,$A4),"-")</f>
        <v>4.86666666666667</v>
      </c>
      <c r="I4" s="37" t="n">
        <f aca="false">IFERROR(AVERAGEIFS('선수별 포지션'!$H$2:$H$242,'선수별 포지션'!$W$2:$W$242,$A4),"-")</f>
        <v>4.53333333333333</v>
      </c>
      <c r="J4" s="37" t="n">
        <f aca="false">IFERROR(AVERAGEIFS('선수별 포지션'!$I$2:$I$242,'선수별 포지션'!$W$2:$W$242,$A4),"-")</f>
        <v>5.33333333333333</v>
      </c>
      <c r="K4" s="37" t="n">
        <f aca="false">IFERROR(AVERAGEIFS('선수별 포지션'!$J$2:$J$242,'선수별 포지션'!$W$2:$W$242,$A4),"-")</f>
        <v>4.45</v>
      </c>
      <c r="L4" s="37" t="n">
        <f aca="false">IFERROR(AVERAGEIFS('선수별 포지션'!$K$2:$K$242,'선수별 포지션'!$W$2:$W$242,$A4),"-")</f>
        <v>3.88333333333333</v>
      </c>
      <c r="M4" s="37" t="n">
        <f aca="false">IFERROR(AVERAGEIFS('선수별 포지션'!$L$2:$L$242,'선수별 포지션'!$W$2:$W$242,$A4),"-")</f>
        <v>3.88333333333333</v>
      </c>
      <c r="N4" s="37" t="n">
        <f aca="false">IFERROR(AVERAGEIFS('선수별 포지션'!$M$2:$M$242,'선수별 포지션'!$W$2:$W$242,$A4),"-")</f>
        <v>3.88333333333333</v>
      </c>
      <c r="O4" s="37" t="n">
        <f aca="false">IFERROR(AVERAGEIFS('선수별 포지션'!$N$2:$N$242,'선수별 포지션'!$W$2:$W$242,$A4),"-")</f>
        <v>3.86666666666667</v>
      </c>
      <c r="P4" s="37" t="n">
        <f aca="false">IFERROR(AVERAGEIFS('선수별 포지션'!$O$2:$O$242,'선수별 포지션'!$W$2:$W$242,$A4),"-")</f>
        <v>4.16666666666667</v>
      </c>
      <c r="Q4" s="37" t="n">
        <f aca="false">IFERROR(AVERAGEIFS('선수별 포지션'!$P$2:$P$242,'선수별 포지션'!$W$2:$W$242,$A4),"-")</f>
        <v>4.03333333333333</v>
      </c>
      <c r="R4" s="37" t="n">
        <f aca="false">IFERROR(AVERAGEIFS('선수별 포지션'!$Q$2:$Q$242,'선수별 포지션'!$W$2:$W$242,$A4),"-")</f>
        <v>5.36666666666667</v>
      </c>
      <c r="S4" s="37" t="n">
        <f aca="false">IFERROR(AVERAGEIFS('선수별 포지션'!$R$2:$R$242,'선수별 포지션'!$W$2:$W$242,$A4),"-")</f>
        <v>4.78333333333333</v>
      </c>
    </row>
    <row r="5" customFormat="false" ht="15" hidden="false" customHeight="false" outlineLevel="0" collapsed="false">
      <c r="A5" s="20" t="s">
        <v>49</v>
      </c>
      <c r="B5" s="36" t="s">
        <v>98</v>
      </c>
      <c r="C5" s="23" t="n">
        <f aca="false">COUNTIF('선수별 포지션'!$W$2:$W$242,A5)</f>
        <v>29</v>
      </c>
      <c r="D5" s="37" t="n">
        <f aca="false">IFERROR(AVERAGEIFS('선수별 포지션'!$F$2:$F$242,'선수별 포지션'!$W$2:$W$242,$A5),"-")</f>
        <v>4.79310344827586</v>
      </c>
      <c r="E5" s="37" t="n">
        <f aca="false">IFERROR(AVERAGEIFS('선수별 포지션'!$S$2:$S$242,'선수별 포지션'!$W$2:$W$242,$A5),"-")</f>
        <v>5.08793103448276</v>
      </c>
      <c r="F5" s="37" t="n">
        <f aca="false">IFERROR(AVERAGEIFS('선수별 포지션'!$T$2:$T$242,'선수별 포지션'!$W$2:$W$242,$A5),"-")</f>
        <v>3.93103448275862</v>
      </c>
      <c r="G5" s="37" t="n">
        <f aca="false">IFERROR(AVERAGEIFS('선수별 포지션'!$U$2:$U$242,'선수별 포지션'!$W$2:$W$242,$A5),"-")</f>
        <v>5.4551724137931</v>
      </c>
      <c r="H5" s="37" t="n">
        <f aca="false">IFERROR(AVERAGEIFS('선수별 포지션'!$G$2:$G$242,'선수별 포지션'!$W$2:$W$242,$A5),"-")</f>
        <v>5.04137931034483</v>
      </c>
      <c r="I5" s="37" t="n">
        <f aca="false">IFERROR(AVERAGEIFS('선수별 포지션'!$H$2:$H$242,'선수별 포지션'!$W$2:$W$242,$A5),"-")</f>
        <v>5.01034482758621</v>
      </c>
      <c r="J5" s="37" t="n">
        <f aca="false">IFERROR(AVERAGEIFS('선수별 포지션'!$I$2:$I$242,'선수별 포지션'!$W$2:$W$242,$A5),"-")</f>
        <v>5.44137931034483</v>
      </c>
      <c r="K5" s="37" t="n">
        <f aca="false">IFERROR(AVERAGEIFS('선수별 포지션'!$J$2:$J$242,'선수별 포지션'!$W$2:$W$242,$A5),"-")</f>
        <v>4.85862068965517</v>
      </c>
      <c r="L5" s="37" t="n">
        <f aca="false">IFERROR(AVERAGEIFS('선수별 포지션'!$K$2:$K$242,'선수별 포지션'!$W$2:$W$242,$A5),"-")</f>
        <v>3.93103448275862</v>
      </c>
      <c r="M5" s="37" t="n">
        <f aca="false">IFERROR(AVERAGEIFS('선수별 포지션'!$L$2:$L$242,'선수별 포지션'!$W$2:$W$242,$A5),"-")</f>
        <v>3.97931034482759</v>
      </c>
      <c r="N5" s="37" t="n">
        <f aca="false">IFERROR(AVERAGEIFS('선수별 포지션'!$M$2:$M$242,'선수별 포지션'!$W$2:$W$242,$A5),"-")</f>
        <v>3.88275862068966</v>
      </c>
      <c r="O5" s="37" t="n">
        <f aca="false">IFERROR(AVERAGEIFS('선수별 포지션'!$N$2:$N$242,'선수별 포지션'!$W$2:$W$242,$A5),"-")</f>
        <v>5.45172413793103</v>
      </c>
      <c r="P5" s="37" t="n">
        <f aca="false">IFERROR(AVERAGEIFS('선수별 포지션'!$O$2:$O$242,'선수별 포지션'!$W$2:$W$242,$A5),"-")</f>
        <v>5.45862068965517</v>
      </c>
      <c r="Q5" s="37" t="n">
        <f aca="false">IFERROR(AVERAGEIFS('선수별 포지션'!$P$2:$P$242,'선수별 포지션'!$W$2:$W$242,$A5),"-")</f>
        <v>4.5551724137931</v>
      </c>
      <c r="R5" s="37" t="n">
        <f aca="false">IFERROR(AVERAGEIFS('선수별 포지션'!$Q$2:$Q$242,'선수별 포지션'!$W$2:$W$242,$A5),"-")</f>
        <v>5.5448275862069</v>
      </c>
      <c r="S5" s="37" t="n">
        <f aca="false">IFERROR(AVERAGEIFS('선수별 포지션'!$R$2:$R$242,'선수별 포지션'!$W$2:$W$242,$A5),"-")</f>
        <v>5.47586206896552</v>
      </c>
    </row>
    <row r="6" customFormat="false" ht="15" hidden="false" customHeight="false" outlineLevel="0" collapsed="false">
      <c r="A6" s="20" t="s">
        <v>50</v>
      </c>
      <c r="B6" s="36" t="s">
        <v>108</v>
      </c>
      <c r="C6" s="23" t="n">
        <f aca="false">COUNTIF('선수별 포지션'!$W$2:$W$242,A6)</f>
        <v>23</v>
      </c>
      <c r="D6" s="37" t="n">
        <f aca="false">IFERROR(AVERAGEIFS('선수별 포지션'!$F$2:$F$242,'선수별 포지션'!$W$2:$W$242,$A6),"-")</f>
        <v>4.32173913043478</v>
      </c>
      <c r="E6" s="37" t="n">
        <f aca="false">IFERROR(AVERAGEIFS('선수별 포지션'!$S$2:$S$242,'선수별 포지션'!$W$2:$W$242,$A6),"-")</f>
        <v>4.0304347826087</v>
      </c>
      <c r="F6" s="37" t="n">
        <f aca="false">IFERROR(AVERAGEIFS('선수별 포지션'!$T$2:$T$242,'선수별 포지션'!$W$2:$W$242,$A6),"-")</f>
        <v>3.84347826086957</v>
      </c>
      <c r="G6" s="37" t="n">
        <f aca="false">IFERROR(AVERAGEIFS('선수별 포지션'!$U$2:$U$242,'선수별 포지션'!$W$2:$W$242,$A6),"-")</f>
        <v>5.05217391304348</v>
      </c>
      <c r="H6" s="37" t="n">
        <f aca="false">IFERROR(AVERAGEIFS('선수별 포지션'!$G$2:$G$242,'선수별 포지션'!$W$2:$W$242,$A6),"-")</f>
        <v>4.07391304347826</v>
      </c>
      <c r="I6" s="37" t="n">
        <f aca="false">IFERROR(AVERAGEIFS('선수별 포지션'!$H$2:$H$242,'선수별 포지션'!$W$2:$W$242,$A6),"-")</f>
        <v>3.85652173913044</v>
      </c>
      <c r="J6" s="37" t="n">
        <f aca="false">IFERROR(AVERAGEIFS('선수별 포지션'!$I$2:$I$242,'선수별 포지션'!$W$2:$W$242,$A6),"-")</f>
        <v>4.38260869565217</v>
      </c>
      <c r="K6" s="37" t="n">
        <f aca="false">IFERROR(AVERAGEIFS('선수별 포지션'!$J$2:$J$242,'선수별 포지션'!$W$2:$W$242,$A6),"-")</f>
        <v>3.80869565217391</v>
      </c>
      <c r="L6" s="37" t="n">
        <f aca="false">IFERROR(AVERAGEIFS('선수별 포지션'!$K$2:$K$242,'선수별 포지션'!$W$2:$W$242,$A6),"-")</f>
        <v>3.85217391304348</v>
      </c>
      <c r="M6" s="37" t="n">
        <f aca="false">IFERROR(AVERAGEIFS('선수별 포지션'!$L$2:$L$242,'선수별 포지션'!$W$2:$W$242,$A6),"-")</f>
        <v>3.74347826086957</v>
      </c>
      <c r="N6" s="37" t="n">
        <f aca="false">IFERROR(AVERAGEIFS('선수별 포지션'!$M$2:$M$242,'선수별 포지션'!$W$2:$W$242,$A6),"-")</f>
        <v>3.93478260869565</v>
      </c>
      <c r="O6" s="37" t="n">
        <f aca="false">IFERROR(AVERAGEIFS('선수별 포지션'!$N$2:$N$242,'선수별 포지션'!$W$2:$W$242,$A6),"-")</f>
        <v>5.06086956521739</v>
      </c>
      <c r="P6" s="37" t="n">
        <f aca="false">IFERROR(AVERAGEIFS('선수별 포지션'!$O$2:$O$242,'선수별 포지션'!$W$2:$W$242,$A6),"-")</f>
        <v>5.04347826086957</v>
      </c>
      <c r="Q6" s="37" t="n">
        <f aca="false">IFERROR(AVERAGEIFS('선수별 포지션'!$P$2:$P$242,'선수별 포지션'!$W$2:$W$242,$A6),"-")</f>
        <v>4.11304347826087</v>
      </c>
      <c r="R6" s="37" t="n">
        <f aca="false">IFERROR(AVERAGEIFS('선수별 포지션'!$Q$2:$Q$242,'선수별 포지션'!$W$2:$W$242,$A6),"-")</f>
        <v>4.85217391304348</v>
      </c>
      <c r="S6" s="37" t="n">
        <f aca="false">IFERROR(AVERAGEIFS('선수별 포지션'!$R$2:$R$242,'선수별 포지션'!$W$2:$W$242,$A6),"-")</f>
        <v>5.34782608695652</v>
      </c>
    </row>
    <row r="7" customFormat="false" ht="15" hidden="false" customHeight="false" outlineLevel="0" collapsed="false">
      <c r="A7" s="20" t="s">
        <v>51</v>
      </c>
      <c r="B7" s="36" t="s">
        <v>118</v>
      </c>
      <c r="C7" s="23" t="n">
        <f aca="false">COUNTIF('선수별 포지션'!$W$2:$W$242,A7)</f>
        <v>18</v>
      </c>
      <c r="D7" s="37" t="n">
        <f aca="false">IFERROR(AVERAGEIFS('선수별 포지션'!$F$2:$F$242,'선수별 포지션'!$W$2:$W$242,$A7),"-")</f>
        <v>4.64444444444444</v>
      </c>
      <c r="E7" s="37" t="n">
        <f aca="false">IFERROR(AVERAGEIFS('선수별 포지션'!$S$2:$S$242,'선수별 포지션'!$W$2:$W$242,$A7),"-")</f>
        <v>4.00972222222222</v>
      </c>
      <c r="F7" s="37" t="n">
        <f aca="false">IFERROR(AVERAGEIFS('선수별 포지션'!$T$2:$T$242,'선수별 포지션'!$W$2:$W$242,$A7),"-")</f>
        <v>4.92037037037037</v>
      </c>
      <c r="G7" s="37" t="n">
        <f aca="false">IFERROR(AVERAGEIFS('선수별 포지션'!$U$2:$U$242,'선수별 포지션'!$W$2:$W$242,$A7),"-")</f>
        <v>5.15277777777778</v>
      </c>
      <c r="H7" s="37" t="n">
        <f aca="false">IFERROR(AVERAGEIFS('선수별 포지션'!$G$2:$G$242,'선수별 포지션'!$W$2:$W$242,$A7),"-")</f>
        <v>3.98333333333333</v>
      </c>
      <c r="I7" s="37" t="n">
        <f aca="false">IFERROR(AVERAGEIFS('선수별 포지션'!$H$2:$H$242,'선수별 포지션'!$W$2:$W$242,$A7),"-")</f>
        <v>3.89444444444444</v>
      </c>
      <c r="J7" s="37" t="n">
        <f aca="false">IFERROR(AVERAGEIFS('선수별 포지션'!$I$2:$I$242,'선수별 포지션'!$W$2:$W$242,$A7),"-")</f>
        <v>4.37777777777778</v>
      </c>
      <c r="K7" s="37" t="n">
        <f aca="false">IFERROR(AVERAGEIFS('선수별 포지션'!$J$2:$J$242,'선수별 포지션'!$W$2:$W$242,$A7),"-")</f>
        <v>3.78333333333333</v>
      </c>
      <c r="L7" s="37" t="n">
        <f aca="false">IFERROR(AVERAGEIFS('선수별 포지션'!$K$2:$K$242,'선수별 포지션'!$W$2:$W$242,$A7),"-")</f>
        <v>4.91111111111111</v>
      </c>
      <c r="M7" s="37" t="n">
        <f aca="false">IFERROR(AVERAGEIFS('선수별 포지션'!$L$2:$L$242,'선수별 포지션'!$W$2:$W$242,$A7),"-")</f>
        <v>4.74444444444444</v>
      </c>
      <c r="N7" s="37" t="n">
        <f aca="false">IFERROR(AVERAGEIFS('선수별 포지션'!$M$2:$M$242,'선수별 포지션'!$W$2:$W$242,$A7),"-")</f>
        <v>5.10555555555556</v>
      </c>
      <c r="O7" s="37" t="n">
        <f aca="false">IFERROR(AVERAGEIFS('선수별 포지션'!$N$2:$N$242,'선수별 포지션'!$W$2:$W$242,$A7),"-")</f>
        <v>5.1</v>
      </c>
      <c r="P7" s="37" t="n">
        <f aca="false">IFERROR(AVERAGEIFS('선수별 포지션'!$O$2:$O$242,'선수별 포지션'!$W$2:$W$242,$A7),"-")</f>
        <v>5.20555555555556</v>
      </c>
      <c r="Q7" s="37" t="n">
        <f aca="false">IFERROR(AVERAGEIFS('선수별 포지션'!$P$2:$P$242,'선수별 포지션'!$W$2:$W$242,$A7),"-")</f>
        <v>4.45555555555556</v>
      </c>
      <c r="R7" s="37" t="n">
        <f aca="false">IFERROR(AVERAGEIFS('선수별 포지션'!$Q$2:$Q$242,'선수별 포지션'!$W$2:$W$242,$A7),"-")</f>
        <v>4.93333333333333</v>
      </c>
      <c r="S7" s="37" t="n">
        <f aca="false">IFERROR(AVERAGEIFS('선수별 포지션'!$R$2:$R$242,'선수별 포지션'!$W$2:$W$242,$A7),"-")</f>
        <v>5.48888888888889</v>
      </c>
    </row>
    <row r="8" customFormat="false" ht="15" hidden="false" customHeight="false" outlineLevel="0" collapsed="false">
      <c r="A8" s="20" t="s">
        <v>52</v>
      </c>
      <c r="B8" s="36" t="s">
        <v>128</v>
      </c>
      <c r="C8" s="23" t="n">
        <f aca="false">COUNTIF('선수별 포지션'!$W$2:$W$242,A8)</f>
        <v>48</v>
      </c>
      <c r="D8" s="37" t="n">
        <f aca="false">IFERROR(AVERAGEIFS('선수별 포지션'!$F$2:$F$242,'선수별 포지션'!$W$2:$W$242,$A8),"-")</f>
        <v>3.73958333333333</v>
      </c>
      <c r="E8" s="37" t="n">
        <f aca="false">IFERROR(AVERAGEIFS('선수별 포지션'!$S$2:$S$242,'선수별 포지션'!$W$2:$W$242,$A8),"-")</f>
        <v>3.59375</v>
      </c>
      <c r="F8" s="37" t="n">
        <f aca="false">IFERROR(AVERAGEIFS('선수별 포지션'!$T$2:$T$242,'선수별 포지션'!$W$2:$W$242,$A8),"-")</f>
        <v>3.96527777777778</v>
      </c>
      <c r="G8" s="37" t="n">
        <f aca="false">IFERROR(AVERAGEIFS('선수별 포지션'!$U$2:$U$242,'선수별 포지션'!$W$2:$W$242,$A8),"-")</f>
        <v>3.496875</v>
      </c>
      <c r="H8" s="37" t="n">
        <f aca="false">IFERROR(AVERAGEIFS('선수별 포지션'!$G$2:$G$242,'선수별 포지션'!$W$2:$W$242,$A8),"-")</f>
        <v>3.5875</v>
      </c>
      <c r="I8" s="37" t="n">
        <f aca="false">IFERROR(AVERAGEIFS('선수별 포지션'!$H$2:$H$242,'선수별 포지션'!$W$2:$W$242,$A8),"-")</f>
        <v>3.54166666666667</v>
      </c>
      <c r="J8" s="37" t="n">
        <f aca="false">IFERROR(AVERAGEIFS('선수별 포지션'!$I$2:$I$242,'선수별 포지션'!$W$2:$W$242,$A8),"-")</f>
        <v>3.85416666666667</v>
      </c>
      <c r="K8" s="37" t="n">
        <f aca="false">IFERROR(AVERAGEIFS('선수별 포지션'!$J$2:$J$242,'선수별 포지션'!$W$2:$W$242,$A8),"-")</f>
        <v>3.39166666666667</v>
      </c>
      <c r="L8" s="37" t="n">
        <f aca="false">IFERROR(AVERAGEIFS('선수별 포지션'!$K$2:$K$242,'선수별 포지션'!$W$2:$W$242,$A8),"-")</f>
        <v>3.9625</v>
      </c>
      <c r="M8" s="37" t="n">
        <f aca="false">IFERROR(AVERAGEIFS('선수별 포지션'!$L$2:$L$242,'선수별 포지션'!$W$2:$W$242,$A8),"-")</f>
        <v>3.90416666666667</v>
      </c>
      <c r="N8" s="37" t="n">
        <f aca="false">IFERROR(AVERAGEIFS('선수별 포지션'!$M$2:$M$242,'선수별 포지션'!$W$2:$W$242,$A8),"-")</f>
        <v>4.02916666666667</v>
      </c>
      <c r="O8" s="37" t="n">
        <f aca="false">IFERROR(AVERAGEIFS('선수별 포지션'!$N$2:$N$242,'선수별 포지션'!$W$2:$W$242,$A8),"-")</f>
        <v>3.51458333333333</v>
      </c>
      <c r="P8" s="37" t="n">
        <f aca="false">IFERROR(AVERAGEIFS('선수별 포지션'!$O$2:$O$242,'선수별 포지션'!$W$2:$W$242,$A8),"-")</f>
        <v>3.47916666666667</v>
      </c>
      <c r="Q8" s="37" t="n">
        <f aca="false">IFERROR(AVERAGEIFS('선수별 포지션'!$P$2:$P$242,'선수별 포지션'!$W$2:$W$242,$A8),"-")</f>
        <v>3.9375</v>
      </c>
      <c r="R8" s="37" t="n">
        <f aca="false">IFERROR(AVERAGEIFS('선수별 포지션'!$Q$2:$Q$242,'선수별 포지션'!$W$2:$W$242,$A8),"-")</f>
        <v>4.47291666666667</v>
      </c>
      <c r="S8" s="37" t="n">
        <f aca="false">IFERROR(AVERAGEIFS('선수별 포지션'!$R$2:$R$242,'선수별 포지션'!$W$2:$W$242,$A8),"-")</f>
        <v>4.89375</v>
      </c>
    </row>
    <row r="9" customFormat="false" ht="15" hidden="false" customHeight="false" outlineLevel="0" collapsed="false">
      <c r="A9" s="20" t="s">
        <v>53</v>
      </c>
      <c r="B9" s="36" t="s">
        <v>138</v>
      </c>
      <c r="C9" s="23" t="n">
        <f aca="false">COUNTIF('선수별 포지션'!$W$2:$W$242,A9)</f>
        <v>69</v>
      </c>
      <c r="D9" s="37" t="n">
        <f aca="false">IFERROR(AVERAGEIFS('선수별 포지션'!$F$2:$F$242,'선수별 포지션'!$W$2:$W$242,$A9),"-")</f>
        <v>5.21449275362319</v>
      </c>
      <c r="E9" s="37" t="n">
        <f aca="false">IFERROR(AVERAGEIFS('선수별 포지션'!$S$2:$S$242,'선수별 포지션'!$W$2:$W$242,$A9),"-")</f>
        <v>5.13731884057971</v>
      </c>
      <c r="F9" s="37" t="n">
        <f aca="false">IFERROR(AVERAGEIFS('선수별 포지션'!$T$2:$T$242,'선수별 포지션'!$W$2:$W$242,$A9),"-")</f>
        <v>5.15217391304348</v>
      </c>
      <c r="G9" s="37" t="n">
        <f aca="false">IFERROR(AVERAGEIFS('선수별 포지션'!$U$2:$U$242,'선수별 포지션'!$W$2:$W$242,$A9),"-")</f>
        <v>5.4536231884058</v>
      </c>
      <c r="H9" s="37" t="n">
        <f aca="false">IFERROR(AVERAGEIFS('선수별 포지션'!$G$2:$G$242,'선수별 포지션'!$W$2:$W$242,$A9),"-")</f>
        <v>5.08985507246377</v>
      </c>
      <c r="I9" s="37" t="n">
        <f aca="false">IFERROR(AVERAGEIFS('선수별 포지션'!$H$2:$H$242,'선수별 포지션'!$W$2:$W$242,$A9),"-")</f>
        <v>5.13188405797102</v>
      </c>
      <c r="J9" s="37" t="n">
        <f aca="false">IFERROR(AVERAGEIFS('선수별 포지션'!$I$2:$I$242,'선수별 포지션'!$W$2:$W$242,$A9),"-")</f>
        <v>5.37971014492754</v>
      </c>
      <c r="K9" s="37" t="n">
        <f aca="false">IFERROR(AVERAGEIFS('선수별 포지션'!$J$2:$J$242,'선수별 포지션'!$W$2:$W$242,$A9),"-")</f>
        <v>4.94782608695652</v>
      </c>
      <c r="L9" s="37" t="n">
        <f aca="false">IFERROR(AVERAGEIFS('선수별 포지션'!$K$2:$K$242,'선수별 포지션'!$W$2:$W$242,$A9),"-")</f>
        <v>5.15507246376812</v>
      </c>
      <c r="M9" s="37" t="n">
        <f aca="false">IFERROR(AVERAGEIFS('선수별 포지션'!$L$2:$L$242,'선수별 포지션'!$W$2:$W$242,$A9),"-")</f>
        <v>5.10579710144928</v>
      </c>
      <c r="N9" s="37" t="n">
        <f aca="false">IFERROR(AVERAGEIFS('선수별 포지션'!$M$2:$M$242,'선수별 포지션'!$W$2:$W$242,$A9),"-")</f>
        <v>5.19565217391304</v>
      </c>
      <c r="O9" s="37" t="n">
        <f aca="false">IFERROR(AVERAGEIFS('선수별 포지션'!$N$2:$N$242,'선수별 포지션'!$W$2:$W$242,$A9),"-")</f>
        <v>5.45217391304348</v>
      </c>
      <c r="P9" s="37" t="n">
        <f aca="false">IFERROR(AVERAGEIFS('선수별 포지션'!$O$2:$O$242,'선수별 포지션'!$W$2:$W$242,$A9),"-")</f>
        <v>5.45507246376812</v>
      </c>
      <c r="Q9" s="37" t="n">
        <f aca="false">IFERROR(AVERAGEIFS('선수별 포지션'!$P$2:$P$242,'선수별 포지션'!$W$2:$W$242,$A9),"-")</f>
        <v>5.10289855072464</v>
      </c>
      <c r="R9" s="37" t="n">
        <f aca="false">IFERROR(AVERAGEIFS('선수별 포지션'!$Q$2:$Q$242,'선수별 포지션'!$W$2:$W$242,$A9),"-")</f>
        <v>5.53333333333333</v>
      </c>
      <c r="S9" s="37" t="n">
        <f aca="false">IFERROR(AVERAGEIFS('선수별 포지션'!$R$2:$R$242,'선수별 포지션'!$W$2:$W$242,$A9),"-")</f>
        <v>5.75217391304348</v>
      </c>
    </row>
    <row r="10" customFormat="false" ht="15" hidden="false" customHeight="false" outlineLevel="0" collapsed="false">
      <c r="A10" s="38"/>
      <c r="B10" s="39" t="s">
        <v>165</v>
      </c>
      <c r="C10" s="39" t="n">
        <f aca="false">SUM(C2:C9)</f>
        <v>241</v>
      </c>
      <c r="D10" s="40" t="n">
        <f aca="false">AVERAGE('선수별 포지션'!$F$2:$F$242)</f>
        <v>4.51659751037344</v>
      </c>
      <c r="E10" s="40" t="n">
        <f aca="false">AVERAGE('선수별 포지션'!$S$2:$S$242)</f>
        <v>4.40684647302905</v>
      </c>
      <c r="F10" s="40" t="n">
        <f aca="false">AVERAGE('선수별 포지션'!$T$2:$T$242)</f>
        <v>4.56763485477178</v>
      </c>
      <c r="G10" s="40" t="n">
        <f aca="false">AVERAGE('선수별 포지션'!$U$2:$U$242)</f>
        <v>4.6143153526971</v>
      </c>
      <c r="H10" s="40" t="n">
        <f aca="false">AVERAGE('선수별 포지션'!$G$2:$G$242)</f>
        <v>4.37966804979253</v>
      </c>
      <c r="I10" s="40" t="n">
        <f aca="false">AVERAGE('선수별 포지션'!$H$2:$H$242)</f>
        <v>4.32655601659751</v>
      </c>
      <c r="J10" s="40" t="n">
        <f aca="false">AVERAGE('선수별 포지션'!$I$2:$I$242)</f>
        <v>4.72697095435685</v>
      </c>
      <c r="K10" s="40" t="n">
        <f aca="false">AVERAGE('선수별 포지션'!$J$2:$J$242)</f>
        <v>4.1941908713693</v>
      </c>
      <c r="L10" s="40" t="n">
        <f aca="false">AVERAGE('선수별 포지션'!$K$2:$K$242)</f>
        <v>4.56804979253112</v>
      </c>
      <c r="M10" s="40" t="n">
        <f aca="false">AVERAGE('선수별 포지션'!$L$2:$L$242)</f>
        <v>4.51203319502075</v>
      </c>
      <c r="N10" s="40" t="n">
        <f aca="false">AVERAGE('선수별 포지션'!$M$2:$M$242)</f>
        <v>4.62282157676349</v>
      </c>
      <c r="O10" s="40" t="n">
        <f aca="false">AVERAGE('선수별 포지션'!$N$2:$N$242)</f>
        <v>4.59626556016598</v>
      </c>
      <c r="P10" s="40" t="n">
        <f aca="false">AVERAGE('선수별 포지션'!$O$2:$O$242)</f>
        <v>4.63236514522822</v>
      </c>
      <c r="Q10" s="40" t="n">
        <f aca="false">AVERAGE('선수별 포지션'!$P$2:$P$242)</f>
        <v>4.4655601659751</v>
      </c>
      <c r="R10" s="40" t="n">
        <f aca="false">AVERAGE('선수별 포지션'!$Q$2:$Q$242)</f>
        <v>5.09087136929461</v>
      </c>
      <c r="S10" s="40" t="n">
        <f aca="false">AVERAGE('선수별 포지션'!$R$2:$R$242)</f>
        <v>5.40414937759336</v>
      </c>
    </row>
  </sheetData>
  <conditionalFormatting sqref="D2:S9">
    <cfRule type="colorScale" priority="2">
      <colorScale>
        <cfvo type="num" val="3.4"/>
        <cfvo type="num" val="4.5"/>
        <cfvo type="num" val="5.8"/>
        <color rgb="FFFBE3D0"/>
        <color rgb="FFFFFFFF"/>
        <color rgb="FFD9EAD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23" min="4" style="0" width="11"/>
    <col collapsed="false" customWidth="true" hidden="false" outlineLevel="0" max="24" min="24" style="0" width="18"/>
    <col collapsed="false" customWidth="true" hidden="false" outlineLevel="0" max="25" min="25" style="0" width="26"/>
    <col collapsed="false" customWidth="true" hidden="false" outlineLevel="0" max="26" min="26" style="0" width="22"/>
    <col collapsed="false" customWidth="true" hidden="false" outlineLevel="0" max="27" min="27" style="0" width="40"/>
    <col collapsed="false" customWidth="true" hidden="false" outlineLevel="0" max="35" min="28" style="0" width="11"/>
    <col collapsed="false" customWidth="true" hidden="true" outlineLevel="0" max="36" min="36" style="0" width="6"/>
    <col collapsed="false" customWidth="true" hidden="true" outlineLevel="0" max="42" min="37" style="0" width="13"/>
  </cols>
  <sheetData>
    <row r="1" customFormat="false" ht="42" hidden="false" customHeight="true" outlineLevel="0" collapsed="false">
      <c r="A1" s="25" t="s">
        <v>166</v>
      </c>
      <c r="B1" s="25" t="s">
        <v>167</v>
      </c>
      <c r="C1" s="25" t="s">
        <v>33</v>
      </c>
      <c r="D1" s="25" t="s">
        <v>34</v>
      </c>
      <c r="E1" s="35" t="s">
        <v>168</v>
      </c>
      <c r="F1" s="35" t="s">
        <v>149</v>
      </c>
      <c r="G1" s="25" t="s">
        <v>153</v>
      </c>
      <c r="H1" s="25" t="s">
        <v>154</v>
      </c>
      <c r="I1" s="25" t="s">
        <v>155</v>
      </c>
      <c r="J1" s="25" t="s">
        <v>156</v>
      </c>
      <c r="K1" s="25" t="s">
        <v>157</v>
      </c>
      <c r="L1" s="25" t="s">
        <v>158</v>
      </c>
      <c r="M1" s="25" t="s">
        <v>159</v>
      </c>
      <c r="N1" s="25" t="s">
        <v>160</v>
      </c>
      <c r="O1" s="25" t="s">
        <v>161</v>
      </c>
      <c r="P1" s="25" t="s">
        <v>162</v>
      </c>
      <c r="Q1" s="25" t="s">
        <v>163</v>
      </c>
      <c r="R1" s="25" t="s">
        <v>164</v>
      </c>
      <c r="S1" s="26" t="s">
        <v>150</v>
      </c>
      <c r="T1" s="26" t="s">
        <v>151</v>
      </c>
      <c r="U1" s="26" t="s">
        <v>152</v>
      </c>
      <c r="V1" s="26" t="s">
        <v>169</v>
      </c>
      <c r="W1" s="26" t="s">
        <v>35</v>
      </c>
      <c r="X1" s="26" t="s">
        <v>36</v>
      </c>
      <c r="Y1" s="26" t="s">
        <v>20</v>
      </c>
      <c r="Z1" s="26" t="s">
        <v>170</v>
      </c>
      <c r="AA1" s="26" t="s">
        <v>26</v>
      </c>
      <c r="AB1" s="25" t="s">
        <v>171</v>
      </c>
      <c r="AC1" s="25" t="s">
        <v>172</v>
      </c>
      <c r="AD1" s="25" t="s">
        <v>173</v>
      </c>
      <c r="AE1" s="25" t="s">
        <v>174</v>
      </c>
      <c r="AF1" s="25" t="s">
        <v>175</v>
      </c>
      <c r="AG1" s="25" t="s">
        <v>176</v>
      </c>
      <c r="AH1" s="25" t="s">
        <v>177</v>
      </c>
      <c r="AI1" s="25" t="s">
        <v>178</v>
      </c>
      <c r="AJ1" s="35" t="s">
        <v>179</v>
      </c>
      <c r="AK1" s="35" t="s">
        <v>180</v>
      </c>
      <c r="AL1" s="35" t="s">
        <v>181</v>
      </c>
      <c r="AM1" s="35" t="s">
        <v>182</v>
      </c>
      <c r="AN1" s="35" t="s">
        <v>183</v>
      </c>
      <c r="AO1" s="35" t="s">
        <v>184</v>
      </c>
      <c r="AP1" s="35" t="s">
        <v>185</v>
      </c>
    </row>
    <row r="2" customFormat="false" ht="17.15" hidden="false" customHeight="false" outlineLevel="0" collapsed="false">
      <c r="A2" s="13" t="s">
        <v>186</v>
      </c>
      <c r="B2" s="13" t="s">
        <v>187</v>
      </c>
      <c r="C2" s="13" t="s">
        <v>188</v>
      </c>
      <c r="D2" s="14" t="n">
        <v>46270</v>
      </c>
      <c r="E2" s="41" t="s">
        <v>189</v>
      </c>
      <c r="F2" s="42" t="n">
        <v>5.7</v>
      </c>
      <c r="G2" s="42" t="n">
        <v>5.6</v>
      </c>
      <c r="H2" s="42" t="n">
        <v>5.8</v>
      </c>
      <c r="I2" s="42" t="n">
        <v>5.8</v>
      </c>
      <c r="J2" s="42" t="n">
        <v>5.5</v>
      </c>
      <c r="K2" s="42" t="n">
        <v>5.7</v>
      </c>
      <c r="L2" s="42" t="n">
        <v>5.5</v>
      </c>
      <c r="M2" s="42" t="n">
        <v>5.9</v>
      </c>
      <c r="N2" s="42" t="n">
        <v>5.9</v>
      </c>
      <c r="O2" s="42" t="n">
        <v>6</v>
      </c>
      <c r="P2" s="42" t="n">
        <v>5.7</v>
      </c>
      <c r="Q2" s="42" t="n">
        <v>5.6</v>
      </c>
      <c r="R2" s="42" t="n">
        <v>6</v>
      </c>
      <c r="S2" s="37" t="n">
        <f aca="false">AVERAGE(G2:J2)</f>
        <v>5.675</v>
      </c>
      <c r="T2" s="37" t="n">
        <f aca="false">AVERAGE(K2:M2)</f>
        <v>5.7</v>
      </c>
      <c r="U2" s="37" t="n">
        <f aca="false">AVERAGE(N2:O2)</f>
        <v>5.95</v>
      </c>
      <c r="V2" s="23" t="str">
        <f aca="false">IF(S2&gt;='판정 기준'!$B$3,"H","L")&amp;IF(T2&gt;='판정 기준'!$B$3,"H","L")&amp;IF(U2&gt;='판정 기준'!$B$3,"H","L")</f>
        <v>HHH</v>
      </c>
      <c r="W2" s="36" t="str">
        <f aca="false">INDEX('포지션 정의'!$A$2:$A$9,MATCH(V2,'포지션 정의'!$D$2:$D$9,0))</f>
        <v>H</v>
      </c>
      <c r="X2" s="36" t="str">
        <f aca="false">INDEX('포지션 정의'!$B$2:$B$9,MATCH(V2,'포지션 정의'!$D$2:$D$9,0))</f>
        <v>올라운드 밸런스형</v>
      </c>
      <c r="Y2" s="43" t="str">
        <f aca="false">IF(AJ2="","가장 높은 지표: "&amp;AP2,LEFT(AJ2,LEN(AJ2)-2))</f>
        <v>경기긴장도, 사회적 도움 활용, 경기 준비 능력, 실수 후 회복력, 자기 통제력</v>
      </c>
      <c r="Z2" s="43" t="str">
        <f aca="false">IF(MAX(AK2:AO2)=0,"심화: "&amp;IF(N2=MIN(G2,Q2,K2,N2,P2),"실수 후 회복력",IF(K2=MIN(G2,Q2,K2,N2,P2),"경기 준비 능력",IF(G2=MIN(G2,Q2,K2,N2,P2),"경기긴장도",IF(P2=MIN(G2,Q2,K2,N2,P2),"자기 통제력","사회적 도움 활용")))),IF(MAX(AK2:AO2)&gt;='판정 기준'!$B$8-'판정 기준'!$B$4,IF(AN2=MAX(AK2:AO2),"실수 후 회복력",IF(AM2=MAX(AK2:AO2),"경기 준비 능력",IF(AK2=MAX(AK2:AO2),"경기긴장도",IF(AO2=MAX(AK2:AO2),"자기 통제력","사회적 도움 활용")))),IF(AN2&gt;0,"실수 후 회복력",IF(AM2&gt;0,"경기 준비 능력",IF(AK2&gt;0,"경기긴장도",IF(AO2&gt;0,"자기 통제력","사회적 도움 활용"))))))</f>
        <v>심화: 경기긴장도</v>
      </c>
      <c r="AA2" s="43" t="str">
        <f aca="false">INDEX('포지션 정의'!$L$2:$L$9,MATCH(V2,'포지션 정의'!$D$2:$D$9,0))</f>
        <v>크리스티아누 호날두 · 루카 모드리치 · 버질 반 다이크</v>
      </c>
      <c r="AB2" s="24" t="n">
        <f aca="false">ROUND(100*(1-SQRT(((S2-'포지션 정의'!$N$2)^2+(T2-'포지션 정의'!$O$2)^2+(U2-'포지션 정의'!$P$2)^2)/3)/'판정 기준'!$B$7),0)</f>
        <v>67</v>
      </c>
      <c r="AC2" s="24" t="n">
        <f aca="false">ROUND(100*(1-SQRT(((S2-'포지션 정의'!$N$3)^2+(T2-'포지션 정의'!$O$3)^2+(U2-'포지션 정의'!$P$3)^2)/3)/'판정 기준'!$B$7),0)</f>
        <v>74</v>
      </c>
      <c r="AD2" s="24" t="n">
        <f aca="false">ROUND(100*(1-SQRT(((S2-'포지션 정의'!$N$4)^2+(T2-'포지션 정의'!$O$4)^2+(U2-'포지션 정의'!$P$4)^2)/3)/'판정 기준'!$B$7),0)</f>
        <v>66</v>
      </c>
      <c r="AE2" s="24" t="n">
        <f aca="false">ROUND(100*(1-SQRT(((S2-'포지션 정의'!$N$5)^2+(T2-'포지션 정의'!$O$5)^2+(U2-'포지션 정의'!$P$5)^2)/3)/'판정 기준'!$B$7),0)</f>
        <v>76</v>
      </c>
      <c r="AF2" s="24" t="n">
        <f aca="false">ROUND(100*(1-SQRT(((S2-'포지션 정의'!$N$6)^2+(T2-'포지션 정의'!$O$6)^2+(U2-'포지션 정의'!$P$6)^2)/3)/'판정 기준'!$B$7),0)</f>
        <v>68</v>
      </c>
      <c r="AG2" s="24" t="n">
        <f aca="false">ROUND(100*(1-SQRT(((S2-'포지션 정의'!$N$7)^2+(T2-'포지션 정의'!$O$7)^2+(U2-'포지션 정의'!$P$7)^2)/3)/'판정 기준'!$B$7),0)</f>
        <v>76</v>
      </c>
      <c r="AH2" s="24" t="n">
        <f aca="false">ROUND(100*(1-SQRT(((S2-'포지션 정의'!$N$8)^2+(T2-'포지션 정의'!$O$8)^2+(U2-'포지션 정의'!$P$8)^2)/3)/'판정 기준'!$B$7),0)</f>
        <v>60</v>
      </c>
      <c r="AI2" s="24" t="n">
        <f aca="false">ROUND(100*(1-SQRT(((S2-'포지션 정의'!$N$9)^2+(T2-'포지션 정의'!$O$9)^2+(U2-'포지션 정의'!$P$9)^2)/3)/'판정 기준'!$B$7),0)</f>
        <v>88</v>
      </c>
      <c r="AJ2" s="23" t="str">
        <f aca="false">IF(G2&gt;='판정 기준'!$B$8,"경기긴장도, ","")&amp;IF(Q2&gt;='판정 기준'!$B$8,"사회적 도움 활용, ","")&amp;IF(K2&gt;='판정 기준'!$B$8,"경기 준비 능력, ","")&amp;IF(N2&gt;='판정 기준'!$B$8,"실수 후 회복력, ","")&amp;IF(P2&gt;='판정 기준'!$B$8,"자기 통제력, ","")</f>
        <v>경기긴장도, 사회적 도움 활용, 경기 준비 능력, 실수 후 회복력, 자기 통제력, </v>
      </c>
      <c r="AK2" s="23" t="n">
        <f aca="false">IF(AND(G2&lt;'판정 기준'!$B$8,OR(AJ2&lt;&gt;"",AP2&lt;&gt;"경기긴장도")),G2,0)</f>
        <v>0</v>
      </c>
      <c r="AL2" s="23" t="n">
        <f aca="false">IF(AND(Q2&lt;'판정 기준'!$B$8,OR(AJ2&lt;&gt;"",AP2&lt;&gt;"사회적 도움 활용")),Q2,0)</f>
        <v>0</v>
      </c>
      <c r="AM2" s="23" t="n">
        <f aca="false">IF(AND(K2&lt;'판정 기준'!$B$8,OR(AJ2&lt;&gt;"",AP2&lt;&gt;"경기 준비 능력")),K2,0)</f>
        <v>0</v>
      </c>
      <c r="AN2" s="23" t="n">
        <f aca="false">IF(AND(N2&lt;'판정 기준'!$B$8,OR(AJ2&lt;&gt;"",AP2&lt;&gt;"실수 후 회복력")),N2,0)</f>
        <v>0</v>
      </c>
      <c r="AO2" s="23" t="n">
        <f aca="false">IF(AND(P2&lt;'판정 기준'!$B$8,OR(AJ2&lt;&gt;"",AP2&lt;&gt;"자기 통제력")),P2,0)</f>
        <v>0</v>
      </c>
      <c r="AP2" s="23" t="str">
        <f aca="false">IF(Q2=MAX(G2,Q2,K2,N2,P2),"사회적 도움 활용",IF(P2=MAX(G2,Q2,K2,N2,P2),"자기 통제력",IF(G2=MAX(G2,Q2,K2,N2,P2),"경기긴장도",IF(K2=MAX(G2,Q2,K2,N2,P2),"경기 준비 능력","실수 후 회복력"))))</f>
        <v>실수 후 회복력</v>
      </c>
    </row>
    <row r="3" customFormat="false" ht="17.15" hidden="false" customHeight="false" outlineLevel="0" collapsed="false">
      <c r="A3" s="13" t="s">
        <v>190</v>
      </c>
      <c r="B3" s="13" t="s">
        <v>191</v>
      </c>
      <c r="C3" s="13" t="s">
        <v>192</v>
      </c>
      <c r="D3" s="14" t="n">
        <v>46263</v>
      </c>
      <c r="E3" s="41" t="s">
        <v>193</v>
      </c>
      <c r="F3" s="42" t="n">
        <v>4.8</v>
      </c>
      <c r="G3" s="42" t="n">
        <v>5.3</v>
      </c>
      <c r="H3" s="42" t="n">
        <v>5.2</v>
      </c>
      <c r="I3" s="42" t="n">
        <v>5.8</v>
      </c>
      <c r="J3" s="42" t="n">
        <v>4.7</v>
      </c>
      <c r="K3" s="42" t="n">
        <v>4</v>
      </c>
      <c r="L3" s="42" t="n">
        <v>3.7</v>
      </c>
      <c r="M3" s="42" t="n">
        <v>4.3</v>
      </c>
      <c r="N3" s="42" t="n">
        <v>5.9</v>
      </c>
      <c r="O3" s="42" t="n">
        <v>5.5</v>
      </c>
      <c r="P3" s="42" t="n">
        <v>3.5</v>
      </c>
      <c r="Q3" s="42" t="n">
        <v>5.4</v>
      </c>
      <c r="R3" s="42" t="n">
        <v>5.7</v>
      </c>
      <c r="S3" s="37" t="n">
        <f aca="false">AVERAGE(G3:J3)</f>
        <v>5.25</v>
      </c>
      <c r="T3" s="37" t="n">
        <f aca="false">AVERAGE(K3:M3)</f>
        <v>4</v>
      </c>
      <c r="U3" s="37" t="n">
        <f aca="false">AVERAGE(N3:O3)</f>
        <v>5.7</v>
      </c>
      <c r="V3" s="23" t="str">
        <f aca="false">IF(S3&gt;='판정 기준'!$B$3,"H","L")&amp;IF(T3&gt;='판정 기준'!$B$3,"H","L")&amp;IF(U3&gt;='판정 기준'!$B$3,"H","L")</f>
        <v>HLH</v>
      </c>
      <c r="W3" s="36" t="str">
        <f aca="false">INDEX('포지션 정의'!$A$2:$A$9,MATCH(V3,'포지션 정의'!$D$2:$D$9,0))</f>
        <v>D</v>
      </c>
      <c r="X3" s="36" t="str">
        <f aca="false">INDEX('포지션 정의'!$B$2:$B$9,MATCH(V3,'포지션 정의'!$D$2:$D$9,0))</f>
        <v>실전 승부사형</v>
      </c>
      <c r="Y3" s="43" t="str">
        <f aca="false">IF(AJ3="","가장 높은 지표: "&amp;AP3,LEFT(AJ3,LEN(AJ3)-2))</f>
        <v>경기긴장도, 사회적 도움 활용, 실수 후 회복력</v>
      </c>
      <c r="Z3" s="43" t="str">
        <f aca="false">IF(MAX(AK3:AO3)=0,"심화: "&amp;IF(N3=MIN(G3,Q3,K3,N3,P3),"실수 후 회복력",IF(K3=MIN(G3,Q3,K3,N3,P3),"경기 준비 능력",IF(G3=MIN(G3,Q3,K3,N3,P3),"경기긴장도",IF(P3=MIN(G3,Q3,K3,N3,P3),"자기 통제력","사회적 도움 활용")))),IF(MAX(AK3:AO3)&gt;='판정 기준'!$B$8-'판정 기준'!$B$4,IF(AN3=MAX(AK3:AO3),"실수 후 회복력",IF(AM3=MAX(AK3:AO3),"경기 준비 능력",IF(AK3=MAX(AK3:AO3),"경기긴장도",IF(AO3=MAX(AK3:AO3),"자기 통제력","사회적 도움 활용")))),IF(AN3&gt;0,"실수 후 회복력",IF(AM3&gt;0,"경기 준비 능력",IF(AK3&gt;0,"경기긴장도",IF(AO3&gt;0,"자기 통제력","사회적 도움 활용"))))))</f>
        <v>경기 준비 능력</v>
      </c>
      <c r="AA3" s="43" t="str">
        <f aca="false">INDEX('포지션 정의'!$L$2:$L$9,MATCH(V3,'포지션 정의'!$D$2:$D$9,0))</f>
        <v>즐라탄 이브라히모비치 · 호나우지뉴 · 디에고 마라도나</v>
      </c>
      <c r="AB3" s="24" t="n">
        <f aca="false">ROUND(100*(1-SQRT(((S3-'포지션 정의'!$N$2)^2+(T3-'포지션 정의'!$O$2)^2+(U3-'포지션 정의'!$P$2)^2)/3)/'판정 기준'!$B$7),0)</f>
        <v>69</v>
      </c>
      <c r="AC3" s="24" t="n">
        <f aca="false">ROUND(100*(1-SQRT(((S3-'포지션 정의'!$N$3)^2+(T3-'포지션 정의'!$O$3)^2+(U3-'포지션 정의'!$P$3)^2)/3)/'판정 기준'!$B$7),0)</f>
        <v>74</v>
      </c>
      <c r="AD3" s="24" t="n">
        <f aca="false">ROUND(100*(1-SQRT(((S3-'포지션 정의'!$N$4)^2+(T3-'포지션 정의'!$O$4)^2+(U3-'포지션 정의'!$P$4)^2)/3)/'판정 기준'!$B$7),0)</f>
        <v>78</v>
      </c>
      <c r="AE3" s="24" t="n">
        <f aca="false">ROUND(100*(1-SQRT(((S3-'포지션 정의'!$N$5)^2+(T3-'포지션 정의'!$O$5)^2+(U3-'포지션 정의'!$P$5)^2)/3)/'판정 기준'!$B$7),0)</f>
        <v>94</v>
      </c>
      <c r="AF3" s="24" t="n">
        <f aca="false">ROUND(100*(1-SQRT(((S3-'포지션 정의'!$N$6)^2+(T3-'포지션 정의'!$O$6)^2+(U3-'포지션 정의'!$P$6)^2)/3)/'판정 기준'!$B$7),0)</f>
        <v>82</v>
      </c>
      <c r="AG3" s="24" t="n">
        <f aca="false">ROUND(100*(1-SQRT(((S3-'포지션 정의'!$N$7)^2+(T3-'포지션 정의'!$O$7)^2+(U3-'포지션 정의'!$P$7)^2)/3)/'판정 기준'!$B$7),0)</f>
        <v>78</v>
      </c>
      <c r="AH3" s="24" t="n">
        <f aca="false">ROUND(100*(1-SQRT(((S3-'포지션 정의'!$N$8)^2+(T3-'포지션 정의'!$O$8)^2+(U3-'포지션 정의'!$P$8)^2)/3)/'판정 기준'!$B$7),0)</f>
        <v>72</v>
      </c>
      <c r="AI3" s="24" t="n">
        <f aca="false">ROUND(100*(1-SQRT(((S3-'포지션 정의'!$N$9)^2+(T3-'포지션 정의'!$O$9)^2+(U3-'포지션 정의'!$P$9)^2)/3)/'판정 기준'!$B$7),0)</f>
        <v>85</v>
      </c>
      <c r="AJ3" s="23" t="str">
        <f aca="false">IF(G3&gt;='판정 기준'!$B$8,"경기긴장도, ","")&amp;IF(Q3&gt;='판정 기준'!$B$8,"사회적 도움 활용, ","")&amp;IF(K3&gt;='판정 기준'!$B$8,"경기 준비 능력, ","")&amp;IF(N3&gt;='판정 기준'!$B$8,"실수 후 회복력, ","")&amp;IF(P3&gt;='판정 기준'!$B$8,"자기 통제력, ","")</f>
        <v>경기긴장도, 사회적 도움 활용, 실수 후 회복력, </v>
      </c>
      <c r="AK3" s="23" t="n">
        <f aca="false">IF(AND(G3&lt;'판정 기준'!$B$8,OR(AJ3&lt;&gt;"",AP3&lt;&gt;"경기긴장도")),G3,0)</f>
        <v>0</v>
      </c>
      <c r="AL3" s="23" t="n">
        <f aca="false">IF(AND(Q3&lt;'판정 기준'!$B$8,OR(AJ3&lt;&gt;"",AP3&lt;&gt;"사회적 도움 활용")),Q3,0)</f>
        <v>0</v>
      </c>
      <c r="AM3" s="23" t="n">
        <f aca="false">IF(AND(K3&lt;'판정 기준'!$B$8,OR(AJ3&lt;&gt;"",AP3&lt;&gt;"경기 준비 능력")),K3,0)</f>
        <v>4</v>
      </c>
      <c r="AN3" s="23" t="n">
        <f aca="false">IF(AND(N3&lt;'판정 기준'!$B$8,OR(AJ3&lt;&gt;"",AP3&lt;&gt;"실수 후 회복력")),N3,0)</f>
        <v>0</v>
      </c>
      <c r="AO3" s="23" t="n">
        <f aca="false">IF(AND(P3&lt;'판정 기준'!$B$8,OR(AJ3&lt;&gt;"",AP3&lt;&gt;"자기 통제력")),P3,0)</f>
        <v>3.5</v>
      </c>
      <c r="AP3" s="23" t="str">
        <f aca="false">IF(Q3=MAX(G3,Q3,K3,N3,P3),"사회적 도움 활용",IF(P3=MAX(G3,Q3,K3,N3,P3),"자기 통제력",IF(G3=MAX(G3,Q3,K3,N3,P3),"경기긴장도",IF(K3=MAX(G3,Q3,K3,N3,P3),"경기 준비 능력","실수 후 회복력"))))</f>
        <v>실수 후 회복력</v>
      </c>
    </row>
    <row r="4" customFormat="false" ht="17.15" hidden="false" customHeight="false" outlineLevel="0" collapsed="false">
      <c r="A4" s="13" t="s">
        <v>31</v>
      </c>
      <c r="B4" s="13" t="s">
        <v>187</v>
      </c>
      <c r="C4" s="13" t="s">
        <v>188</v>
      </c>
      <c r="D4" s="14" t="n">
        <v>46263</v>
      </c>
      <c r="E4" s="41" t="s">
        <v>189</v>
      </c>
      <c r="F4" s="42" t="n">
        <v>4.5</v>
      </c>
      <c r="G4" s="42" t="n">
        <v>4.3</v>
      </c>
      <c r="H4" s="42" t="n">
        <v>4</v>
      </c>
      <c r="I4" s="42" t="n">
        <v>4.4</v>
      </c>
      <c r="J4" s="42" t="n">
        <v>3.8</v>
      </c>
      <c r="K4" s="42" t="n">
        <v>4.6</v>
      </c>
      <c r="L4" s="42" t="n">
        <v>4.2</v>
      </c>
      <c r="M4" s="42" t="n">
        <v>5</v>
      </c>
      <c r="N4" s="42" t="n">
        <v>4.6</v>
      </c>
      <c r="O4" s="42" t="n">
        <v>4.3</v>
      </c>
      <c r="P4" s="42" t="n">
        <v>4.3</v>
      </c>
      <c r="Q4" s="42" t="n">
        <v>4.6</v>
      </c>
      <c r="R4" s="42" t="n">
        <v>6</v>
      </c>
      <c r="S4" s="37" t="n">
        <f aca="false">AVERAGE(G4:J4)</f>
        <v>4.125</v>
      </c>
      <c r="T4" s="37" t="n">
        <f aca="false">AVERAGE(K4:M4)</f>
        <v>4.6</v>
      </c>
      <c r="U4" s="37" t="n">
        <f aca="false">AVERAGE(N4:O4)</f>
        <v>4.45</v>
      </c>
      <c r="V4" s="23" t="str">
        <f aca="false">IF(S4&gt;='판정 기준'!$B$3,"H","L")&amp;IF(T4&gt;='판정 기준'!$B$3,"H","L")&amp;IF(U4&gt;='판정 기준'!$B$3,"H","L")</f>
        <v>LHL</v>
      </c>
      <c r="W4" s="36" t="str">
        <f aca="false">INDEX('포지션 정의'!$A$2:$A$9,MATCH(V4,'포지션 정의'!$D$2:$D$9,0))</f>
        <v>A</v>
      </c>
      <c r="X4" s="36" t="str">
        <f aca="false">INDEX('포지션 정의'!$B$2:$B$9,MATCH(V4,'포지션 정의'!$D$2:$D$9,0))</f>
        <v>섬세한 준비형</v>
      </c>
      <c r="Y4" s="43" t="str">
        <f aca="false">IF(AJ4="","가장 높은 지표: "&amp;AP4,LEFT(AJ4,LEN(AJ4)-2))</f>
        <v>가장 높은 지표: 사회적 도움 활용</v>
      </c>
      <c r="Z4" s="43" t="str">
        <f aca="false">IF(MAX(AK4:AO4)=0,"심화: "&amp;IF(N4=MIN(G4,Q4,K4,N4,P4),"실수 후 회복력",IF(K4=MIN(G4,Q4,K4,N4,P4),"경기 준비 능력",IF(G4=MIN(G4,Q4,K4,N4,P4),"경기긴장도",IF(P4=MIN(G4,Q4,K4,N4,P4),"자기 통제력","사회적 도움 활용")))),IF(MAX(AK4:AO4)&gt;='판정 기준'!$B$8-'판정 기준'!$B$4,IF(AN4=MAX(AK4:AO4),"실수 후 회복력",IF(AM4=MAX(AK4:AO4),"경기 준비 능력",IF(AK4=MAX(AK4:AO4),"경기긴장도",IF(AO4=MAX(AK4:AO4),"자기 통제력","사회적 도움 활용")))),IF(AN4&gt;0,"실수 후 회복력",IF(AM4&gt;0,"경기 준비 능력",IF(AK4&gt;0,"경기긴장도",IF(AO4&gt;0,"자기 통제력","사회적 도움 활용"))))))</f>
        <v>실수 후 회복력</v>
      </c>
      <c r="AA4" s="43" t="str">
        <f aca="false">INDEX('포지션 정의'!$L$2:$L$9,MATCH(V4,'포지션 정의'!$D$2:$D$9,0))</f>
        <v>로베르트 레반도프스키 · 제임스 밀너 · 마르틴 외데고르</v>
      </c>
      <c r="AB4" s="24" t="n">
        <f aca="false">ROUND(100*(1-SQRT(((S4-'포지션 정의'!$N$2)^2+(T4-'포지션 정의'!$O$2)^2+(U4-'포지션 정의'!$P$2)^2)/3)/'판정 기준'!$B$7),0)</f>
        <v>89</v>
      </c>
      <c r="AC4" s="24" t="n">
        <f aca="false">ROUND(100*(1-SQRT(((S4-'포지션 정의'!$N$3)^2+(T4-'포지션 정의'!$O$3)^2+(U4-'포지션 정의'!$P$3)^2)/3)/'판정 기준'!$B$7),0)</f>
        <v>84</v>
      </c>
      <c r="AD4" s="24" t="n">
        <f aca="false">ROUND(100*(1-SQRT(((S4-'포지션 정의'!$N$4)^2+(T4-'포지션 정의'!$O$4)^2+(U4-'포지션 정의'!$P$4)^2)/3)/'판정 기준'!$B$7),0)</f>
        <v>83</v>
      </c>
      <c r="AE4" s="24" t="n">
        <f aca="false">ROUND(100*(1-SQRT(((S4-'포지션 정의'!$N$5)^2+(T4-'포지션 정의'!$O$5)^2+(U4-'포지션 정의'!$P$5)^2)/3)/'판정 기준'!$B$7),0)</f>
        <v>82</v>
      </c>
      <c r="AF4" s="24" t="n">
        <f aca="false">ROUND(100*(1-SQRT(((S4-'포지션 정의'!$N$6)^2+(T4-'포지션 정의'!$O$6)^2+(U4-'포지션 정의'!$P$6)^2)/3)/'판정 기준'!$B$7),0)</f>
        <v>87</v>
      </c>
      <c r="AG4" s="24" t="n">
        <f aca="false">ROUND(100*(1-SQRT(((S4-'포지션 정의'!$N$7)^2+(T4-'포지션 정의'!$O$7)^2+(U4-'포지션 정의'!$P$7)^2)/3)/'판정 기준'!$B$7),0)</f>
        <v>88</v>
      </c>
      <c r="AH4" s="24" t="n">
        <f aca="false">ROUND(100*(1-SQRT(((S4-'포지션 정의'!$N$8)^2+(T4-'포지션 정의'!$O$8)^2+(U4-'포지션 정의'!$P$8)^2)/3)/'판정 기준'!$B$7),0)</f>
        <v>88</v>
      </c>
      <c r="AI4" s="24" t="n">
        <f aca="false">ROUND(100*(1-SQRT(((S4-'포지션 정의'!$N$9)^2+(T4-'포지션 정의'!$O$9)^2+(U4-'포지션 정의'!$P$9)^2)/3)/'판정 기준'!$B$7),0)</f>
        <v>83</v>
      </c>
      <c r="AJ4" s="23" t="str">
        <f aca="false">IF(G4&gt;='판정 기준'!$B$8,"경기긴장도, ","")&amp;IF(Q4&gt;='판정 기준'!$B$8,"사회적 도움 활용, ","")&amp;IF(K4&gt;='판정 기준'!$B$8,"경기 준비 능력, ","")&amp;IF(N4&gt;='판정 기준'!$B$8,"실수 후 회복력, ","")&amp;IF(P4&gt;='판정 기준'!$B$8,"자기 통제력, ","")</f>
        <v/>
      </c>
      <c r="AK4" s="23" t="n">
        <f aca="false">IF(AND(G4&lt;'판정 기준'!$B$8,OR(AJ4&lt;&gt;"",AP4&lt;&gt;"경기긴장도")),G4,0)</f>
        <v>4.3</v>
      </c>
      <c r="AL4" s="23" t="n">
        <f aca="false">IF(AND(Q4&lt;'판정 기준'!$B$8,OR(AJ4&lt;&gt;"",AP4&lt;&gt;"사회적 도움 활용")),Q4,0)</f>
        <v>0</v>
      </c>
      <c r="AM4" s="23" t="n">
        <f aca="false">IF(AND(K4&lt;'판정 기준'!$B$8,OR(AJ4&lt;&gt;"",AP4&lt;&gt;"경기 준비 능력")),K4,0)</f>
        <v>4.6</v>
      </c>
      <c r="AN4" s="23" t="n">
        <f aca="false">IF(AND(N4&lt;'판정 기준'!$B$8,OR(AJ4&lt;&gt;"",AP4&lt;&gt;"실수 후 회복력")),N4,0)</f>
        <v>4.6</v>
      </c>
      <c r="AO4" s="23" t="n">
        <f aca="false">IF(AND(P4&lt;'판정 기준'!$B$8,OR(AJ4&lt;&gt;"",AP4&lt;&gt;"자기 통제력")),P4,0)</f>
        <v>4.3</v>
      </c>
      <c r="AP4" s="23" t="str">
        <f aca="false">IF(Q4=MAX(G4,Q4,K4,N4,P4),"사회적 도움 활용",IF(P4=MAX(G4,Q4,K4,N4,P4),"자기 통제력",IF(G4=MAX(G4,Q4,K4,N4,P4),"경기긴장도",IF(K4=MAX(G4,Q4,K4,N4,P4),"경기 준비 능력","실수 후 회복력"))))</f>
        <v>사회적 도움 활용</v>
      </c>
    </row>
    <row r="5" customFormat="false" ht="17.15" hidden="false" customHeight="false" outlineLevel="0" collapsed="false">
      <c r="A5" s="13" t="s">
        <v>194</v>
      </c>
      <c r="B5" s="13" t="s">
        <v>187</v>
      </c>
      <c r="C5" s="13" t="s">
        <v>188</v>
      </c>
      <c r="D5" s="14" t="n">
        <v>46263</v>
      </c>
      <c r="E5" s="41" t="s">
        <v>195</v>
      </c>
      <c r="F5" s="42" t="n">
        <v>3.4</v>
      </c>
      <c r="G5" s="42" t="n">
        <v>3.3</v>
      </c>
      <c r="H5" s="42" t="n">
        <v>3.2</v>
      </c>
      <c r="I5" s="42" t="n">
        <v>3.4</v>
      </c>
      <c r="J5" s="42" t="n">
        <v>3.3</v>
      </c>
      <c r="K5" s="42" t="n">
        <v>4.4</v>
      </c>
      <c r="L5" s="42" t="n">
        <v>4.5</v>
      </c>
      <c r="M5" s="42" t="n">
        <v>4.3</v>
      </c>
      <c r="N5" s="42" t="n">
        <v>2.7</v>
      </c>
      <c r="O5" s="42" t="n">
        <v>2.8</v>
      </c>
      <c r="P5" s="42" t="n">
        <v>3.3</v>
      </c>
      <c r="Q5" s="42" t="n">
        <v>4.8</v>
      </c>
      <c r="R5" s="42" t="n">
        <v>4</v>
      </c>
      <c r="S5" s="37" t="n">
        <f aca="false">AVERAGE(G5:J5)</f>
        <v>3.3</v>
      </c>
      <c r="T5" s="37" t="n">
        <f aca="false">AVERAGE(K5:M5)</f>
        <v>4.4</v>
      </c>
      <c r="U5" s="37" t="n">
        <f aca="false">AVERAGE(N5:O5)</f>
        <v>2.75</v>
      </c>
      <c r="V5" s="23" t="str">
        <f aca="false">IF(S5&gt;='판정 기준'!$B$3,"H","L")&amp;IF(T5&gt;='판정 기준'!$B$3,"H","L")&amp;IF(U5&gt;='판정 기준'!$B$3,"H","L")</f>
        <v>LLL</v>
      </c>
      <c r="W5" s="36" t="str">
        <f aca="false">INDEX('포지션 정의'!$A$2:$A$9,MATCH(V5,'포지션 정의'!$D$2:$D$9,0))</f>
        <v>G</v>
      </c>
      <c r="X5" s="36" t="str">
        <f aca="false">INDEX('포지션 정의'!$B$2:$B$9,MATCH(V5,'포지션 정의'!$D$2:$D$9,0))</f>
        <v>스펀지 흡수형</v>
      </c>
      <c r="Y5" s="43" t="str">
        <f aca="false">IF(AJ5="","가장 높은 지표: "&amp;AP5,LEFT(AJ5,LEN(AJ5)-2))</f>
        <v>사회적 도움 활용</v>
      </c>
      <c r="Z5" s="43" t="str">
        <f aca="false">IF(MAX(AK5:AO5)=0,"심화: "&amp;IF(N5=MIN(G5,Q5,K5,N5,P5),"실수 후 회복력",IF(K5=MIN(G5,Q5,K5,N5,P5),"경기 준비 능력",IF(G5=MIN(G5,Q5,K5,N5,P5),"경기긴장도",IF(P5=MIN(G5,Q5,K5,N5,P5),"자기 통제력","사회적 도움 활용")))),IF(MAX(AK5:AO5)&gt;='판정 기준'!$B$8-'판정 기준'!$B$4,IF(AN5=MAX(AK5:AO5),"실수 후 회복력",IF(AM5=MAX(AK5:AO5),"경기 준비 능력",IF(AK5=MAX(AK5:AO5),"경기긴장도",IF(AO5=MAX(AK5:AO5),"자기 통제력","사회적 도움 활용")))),IF(AN5&gt;0,"실수 후 회복력",IF(AM5&gt;0,"경기 준비 능력",IF(AK5&gt;0,"경기긴장도",IF(AO5&gt;0,"자기 통제력","사회적 도움 활용"))))))</f>
        <v>실수 후 회복력</v>
      </c>
      <c r="AA5" s="43" t="str">
        <f aca="false">INDEX('포지션 정의'!$L$2:$L$9,MATCH(V5,'포지션 정의'!$D$2:$D$9,0))</f>
        <v>디디에 드로그바 · 앙투안 그리즈만 · 모하메드 살라</v>
      </c>
      <c r="AB5" s="24" t="n">
        <f aca="false">ROUND(100*(1-SQRT(((S5-'포지션 정의'!$N$2)^2+(T5-'포지션 정의'!$O$2)^2+(U5-'포지션 정의'!$P$2)^2)/3)/'판정 기준'!$B$7),0)</f>
        <v>84</v>
      </c>
      <c r="AC5" s="24" t="n">
        <f aca="false">ROUND(100*(1-SQRT(((S5-'포지션 정의'!$N$3)^2+(T5-'포지션 정의'!$O$3)^2+(U5-'포지션 정의'!$P$3)^2)/3)/'판정 기준'!$B$7),0)</f>
        <v>73</v>
      </c>
      <c r="AD5" s="24" t="n">
        <f aca="false">ROUND(100*(1-SQRT(((S5-'포지션 정의'!$N$4)^2+(T5-'포지션 정의'!$O$4)^2+(U5-'포지션 정의'!$P$4)^2)/3)/'판정 기준'!$B$7),0)</f>
        <v>74</v>
      </c>
      <c r="AE5" s="24" t="n">
        <f aca="false">ROUND(100*(1-SQRT(((S5-'포지션 정의'!$N$5)^2+(T5-'포지션 정의'!$O$5)^2+(U5-'포지션 정의'!$P$5)^2)/3)/'판정 기준'!$B$7),0)</f>
        <v>64</v>
      </c>
      <c r="AF5" s="24" t="n">
        <f aca="false">ROUND(100*(1-SQRT(((S5-'포지션 정의'!$N$6)^2+(T5-'포지션 정의'!$O$6)^2+(U5-'포지션 정의'!$P$6)^2)/3)/'판정 기준'!$B$7),0)</f>
        <v>70</v>
      </c>
      <c r="AG5" s="24" t="n">
        <f aca="false">ROUND(100*(1-SQRT(((S5-'포지션 정의'!$N$7)^2+(T5-'포지션 정의'!$O$7)^2+(U5-'포지션 정의'!$P$7)^2)/3)/'판정 기준'!$B$7),0)</f>
        <v>70</v>
      </c>
      <c r="AH5" s="24" t="n">
        <f aca="false">ROUND(100*(1-SQRT(((S5-'포지션 정의'!$N$8)^2+(T5-'포지션 정의'!$O$8)^2+(U5-'포지션 정의'!$P$8)^2)/3)/'판정 기준'!$B$7),0)</f>
        <v>85</v>
      </c>
      <c r="AI5" s="24" t="n">
        <f aca="false">ROUND(100*(1-SQRT(((S5-'포지션 정의'!$N$9)^2+(T5-'포지션 정의'!$O$9)^2+(U5-'포지션 정의'!$P$9)^2)/3)/'판정 기준'!$B$7),0)</f>
        <v>63</v>
      </c>
      <c r="AJ5" s="23" t="str">
        <f aca="false">IF(G5&gt;='판정 기준'!$B$8,"경기긴장도, ","")&amp;IF(Q5&gt;='판정 기준'!$B$8,"사회적 도움 활용, ","")&amp;IF(K5&gt;='판정 기준'!$B$8,"경기 준비 능력, ","")&amp;IF(N5&gt;='판정 기준'!$B$8,"실수 후 회복력, ","")&amp;IF(P5&gt;='판정 기준'!$B$8,"자기 통제력, ","")</f>
        <v>사회적 도움 활용, </v>
      </c>
      <c r="AK5" s="23" t="n">
        <f aca="false">IF(AND(G5&lt;'판정 기준'!$B$8,OR(AJ5&lt;&gt;"",AP5&lt;&gt;"경기긴장도")),G5,0)</f>
        <v>3.3</v>
      </c>
      <c r="AL5" s="23" t="n">
        <f aca="false">IF(AND(Q5&lt;'판정 기준'!$B$8,OR(AJ5&lt;&gt;"",AP5&lt;&gt;"사회적 도움 활용")),Q5,0)</f>
        <v>0</v>
      </c>
      <c r="AM5" s="23" t="n">
        <f aca="false">IF(AND(K5&lt;'판정 기준'!$B$8,OR(AJ5&lt;&gt;"",AP5&lt;&gt;"경기 준비 능력")),K5,0)</f>
        <v>4.4</v>
      </c>
      <c r="AN5" s="23" t="n">
        <f aca="false">IF(AND(N5&lt;'판정 기준'!$B$8,OR(AJ5&lt;&gt;"",AP5&lt;&gt;"실수 후 회복력")),N5,0)</f>
        <v>2.7</v>
      </c>
      <c r="AO5" s="23" t="n">
        <f aca="false">IF(AND(P5&lt;'판정 기준'!$B$8,OR(AJ5&lt;&gt;"",AP5&lt;&gt;"자기 통제력")),P5,0)</f>
        <v>3.3</v>
      </c>
      <c r="AP5" s="23" t="str">
        <f aca="false">IF(Q5=MAX(G5,Q5,K5,N5,P5),"사회적 도움 활용",IF(P5=MAX(G5,Q5,K5,N5,P5),"자기 통제력",IF(G5=MAX(G5,Q5,K5,N5,P5),"경기긴장도",IF(K5=MAX(G5,Q5,K5,N5,P5),"경기 준비 능력","실수 후 회복력"))))</f>
        <v>사회적 도움 활용</v>
      </c>
    </row>
    <row r="6" customFormat="false" ht="17.15" hidden="false" customHeight="false" outlineLevel="0" collapsed="false">
      <c r="A6" s="13" t="s">
        <v>196</v>
      </c>
      <c r="B6" s="13" t="s">
        <v>187</v>
      </c>
      <c r="C6" s="13" t="s">
        <v>197</v>
      </c>
      <c r="D6" s="14" t="n">
        <v>46256</v>
      </c>
      <c r="E6" s="41" t="s">
        <v>198</v>
      </c>
      <c r="F6" s="42" t="n">
        <v>4.8</v>
      </c>
      <c r="G6" s="42" t="n">
        <v>4.9</v>
      </c>
      <c r="H6" s="42" t="n">
        <v>5.2</v>
      </c>
      <c r="I6" s="42" t="n">
        <v>5.2</v>
      </c>
      <c r="J6" s="42" t="n">
        <v>4.5</v>
      </c>
      <c r="K6" s="42" t="n">
        <v>4.7</v>
      </c>
      <c r="L6" s="42" t="n">
        <v>4.5</v>
      </c>
      <c r="M6" s="42" t="n">
        <v>4.9</v>
      </c>
      <c r="N6" s="42" t="n">
        <v>4.7</v>
      </c>
      <c r="O6" s="42" t="n">
        <v>5.2</v>
      </c>
      <c r="P6" s="42" t="n">
        <v>4.7</v>
      </c>
      <c r="Q6" s="42" t="n">
        <v>5.2</v>
      </c>
      <c r="R6" s="42" t="n">
        <v>5</v>
      </c>
      <c r="S6" s="37" t="n">
        <f aca="false">AVERAGE(G6:J6)</f>
        <v>4.95</v>
      </c>
      <c r="T6" s="37" t="n">
        <f aca="false">AVERAGE(K6:M6)</f>
        <v>4.7</v>
      </c>
      <c r="U6" s="37" t="n">
        <f aca="false">AVERAGE(N6:O6)</f>
        <v>4.95</v>
      </c>
      <c r="V6" s="23" t="str">
        <f aca="false">IF(S6&gt;='판정 기준'!$B$3,"H","L")&amp;IF(T6&gt;='판정 기준'!$B$3,"H","L")&amp;IF(U6&gt;='판정 기준'!$B$3,"H","L")</f>
        <v>HHH</v>
      </c>
      <c r="W6" s="36" t="str">
        <f aca="false">INDEX('포지션 정의'!$A$2:$A$9,MATCH(V6,'포지션 정의'!$D$2:$D$9,0))</f>
        <v>H</v>
      </c>
      <c r="X6" s="36" t="str">
        <f aca="false">INDEX('포지션 정의'!$B$2:$B$9,MATCH(V6,'포지션 정의'!$D$2:$D$9,0))</f>
        <v>올라운드 밸런스형</v>
      </c>
      <c r="Y6" s="43" t="str">
        <f aca="false">IF(AJ6="","가장 높은 지표: "&amp;AP6,LEFT(AJ6,LEN(AJ6)-2))</f>
        <v>경기긴장도, 사회적 도움 활용</v>
      </c>
      <c r="Z6" s="43" t="str">
        <f aca="false">IF(MAX(AK6:AO6)=0,"심화: "&amp;IF(N6=MIN(G6,Q6,K6,N6,P6),"실수 후 회복력",IF(K6=MIN(G6,Q6,K6,N6,P6),"경기 준비 능력",IF(G6=MIN(G6,Q6,K6,N6,P6),"경기긴장도",IF(P6=MIN(G6,Q6,K6,N6,P6),"자기 통제력","사회적 도움 활용")))),IF(MAX(AK6:AO6)&gt;='판정 기준'!$B$8-'판정 기준'!$B$4,IF(AN6=MAX(AK6:AO6),"실수 후 회복력",IF(AM6=MAX(AK6:AO6),"경기 준비 능력",IF(AK6=MAX(AK6:AO6),"경기긴장도",IF(AO6=MAX(AK6:AO6),"자기 통제력","사회적 도움 활용")))),IF(AN6&gt;0,"실수 후 회복력",IF(AM6&gt;0,"경기 준비 능력",IF(AK6&gt;0,"경기긴장도",IF(AO6&gt;0,"자기 통제력","사회적 도움 활용"))))))</f>
        <v>실수 후 회복력</v>
      </c>
      <c r="AA6" s="43" t="str">
        <f aca="false">INDEX('포지션 정의'!$L$2:$L$9,MATCH(V6,'포지션 정의'!$D$2:$D$9,0))</f>
        <v>크리스티아누 호날두 · 루카 모드리치 · 버질 반 다이크</v>
      </c>
      <c r="AB6" s="24" t="n">
        <f aca="false">ROUND(100*(1-SQRT(((S6-'포지션 정의'!$N$2)^2+(T6-'포지션 정의'!$O$2)^2+(U6-'포지션 정의'!$P$2)^2)/3)/'판정 기준'!$B$7),0)</f>
        <v>80</v>
      </c>
      <c r="AC6" s="24" t="n">
        <f aca="false">ROUND(100*(1-SQRT(((S6-'포지션 정의'!$N$3)^2+(T6-'포지션 정의'!$O$3)^2+(U6-'포지션 정의'!$P$3)^2)/3)/'판정 기준'!$B$7),0)</f>
        <v>85</v>
      </c>
      <c r="AD6" s="24" t="n">
        <f aca="false">ROUND(100*(1-SQRT(((S6-'포지션 정의'!$N$4)^2+(T6-'포지션 정의'!$O$4)^2+(U6-'포지션 정의'!$P$4)^2)/3)/'판정 기준'!$B$7),0)</f>
        <v>83</v>
      </c>
      <c r="AE6" s="24" t="n">
        <f aca="false">ROUND(100*(1-SQRT(((S6-'포지션 정의'!$N$5)^2+(T6-'포지션 정의'!$O$5)^2+(U6-'포지션 정의'!$P$5)^2)/3)/'판정 기준'!$B$7),0)</f>
        <v>89</v>
      </c>
      <c r="AF6" s="24" t="n">
        <f aca="false">ROUND(100*(1-SQRT(((S6-'포지션 정의'!$N$6)^2+(T6-'포지션 정의'!$O$6)^2+(U6-'포지션 정의'!$P$6)^2)/3)/'판정 기준'!$B$7),0)</f>
        <v>83</v>
      </c>
      <c r="AG6" s="24" t="n">
        <f aca="false">ROUND(100*(1-SQRT(((S6-'포지션 정의'!$N$7)^2+(T6-'포지션 정의'!$O$7)^2+(U6-'포지션 정의'!$P$7)^2)/3)/'판정 기준'!$B$7),0)</f>
        <v>85</v>
      </c>
      <c r="AH6" s="24" t="n">
        <f aca="false">ROUND(100*(1-SQRT(((S6-'포지션 정의'!$N$8)^2+(T6-'포지션 정의'!$O$8)^2+(U6-'포지션 정의'!$P$8)^2)/3)/'판정 기준'!$B$7),0)</f>
        <v>79</v>
      </c>
      <c r="AI6" s="24" t="n">
        <f aca="false">ROUND(100*(1-SQRT(((S6-'포지션 정의'!$N$9)^2+(T6-'포지션 정의'!$O$9)^2+(U6-'포지션 정의'!$P$9)^2)/3)/'판정 기준'!$B$7),0)</f>
        <v>93</v>
      </c>
      <c r="AJ6" s="23" t="str">
        <f aca="false">IF(G6&gt;='판정 기준'!$B$8,"경기긴장도, ","")&amp;IF(Q6&gt;='판정 기준'!$B$8,"사회적 도움 활용, ","")&amp;IF(K6&gt;='판정 기준'!$B$8,"경기 준비 능력, ","")&amp;IF(N6&gt;='판정 기준'!$B$8,"실수 후 회복력, ","")&amp;IF(P6&gt;='판정 기준'!$B$8,"자기 통제력, ","")</f>
        <v>경기긴장도, 사회적 도움 활용, </v>
      </c>
      <c r="AK6" s="23" t="n">
        <f aca="false">IF(AND(G6&lt;'판정 기준'!$B$8,OR(AJ6&lt;&gt;"",AP6&lt;&gt;"경기긴장도")),G6,0)</f>
        <v>0</v>
      </c>
      <c r="AL6" s="23" t="n">
        <f aca="false">IF(AND(Q6&lt;'판정 기준'!$B$8,OR(AJ6&lt;&gt;"",AP6&lt;&gt;"사회적 도움 활용")),Q6,0)</f>
        <v>0</v>
      </c>
      <c r="AM6" s="23" t="n">
        <f aca="false">IF(AND(K6&lt;'판정 기준'!$B$8,OR(AJ6&lt;&gt;"",AP6&lt;&gt;"경기 준비 능력")),K6,0)</f>
        <v>4.7</v>
      </c>
      <c r="AN6" s="23" t="n">
        <f aca="false">IF(AND(N6&lt;'판정 기준'!$B$8,OR(AJ6&lt;&gt;"",AP6&lt;&gt;"실수 후 회복력")),N6,0)</f>
        <v>4.7</v>
      </c>
      <c r="AO6" s="23" t="n">
        <f aca="false">IF(AND(P6&lt;'판정 기준'!$B$8,OR(AJ6&lt;&gt;"",AP6&lt;&gt;"자기 통제력")),P6,0)</f>
        <v>4.7</v>
      </c>
      <c r="AP6" s="23" t="str">
        <f aca="false">IF(Q6=MAX(G6,Q6,K6,N6,P6),"사회적 도움 활용",IF(P6=MAX(G6,Q6,K6,N6,P6),"자기 통제력",IF(G6=MAX(G6,Q6,K6,N6,P6),"경기긴장도",IF(K6=MAX(G6,Q6,K6,N6,P6),"경기 준비 능력","실수 후 회복력"))))</f>
        <v>사회적 도움 활용</v>
      </c>
    </row>
    <row r="7" customFormat="false" ht="17.15" hidden="false" customHeight="false" outlineLevel="0" collapsed="false">
      <c r="A7" s="13" t="s">
        <v>199</v>
      </c>
      <c r="B7" s="13" t="s">
        <v>187</v>
      </c>
      <c r="C7" s="13" t="s">
        <v>200</v>
      </c>
      <c r="D7" s="14" t="n">
        <v>46256</v>
      </c>
      <c r="E7" s="41" t="s">
        <v>195</v>
      </c>
      <c r="F7" s="42" t="n">
        <v>4.3</v>
      </c>
      <c r="G7" s="42" t="n">
        <v>4.4</v>
      </c>
      <c r="H7" s="42" t="n">
        <v>4.5</v>
      </c>
      <c r="I7" s="42" t="n">
        <v>4.6</v>
      </c>
      <c r="J7" s="42" t="n">
        <v>4</v>
      </c>
      <c r="K7" s="42" t="n">
        <v>4.4</v>
      </c>
      <c r="L7" s="42" t="n">
        <v>4</v>
      </c>
      <c r="M7" s="42" t="n">
        <v>4.7</v>
      </c>
      <c r="N7" s="42" t="n">
        <v>4.6</v>
      </c>
      <c r="O7" s="42" t="n">
        <v>4.2</v>
      </c>
      <c r="P7" s="42" t="n">
        <v>3.8</v>
      </c>
      <c r="Q7" s="42" t="n">
        <v>4.6</v>
      </c>
      <c r="R7" s="42" t="n">
        <v>5</v>
      </c>
      <c r="S7" s="37" t="n">
        <f aca="false">AVERAGE(G7:J7)</f>
        <v>4.375</v>
      </c>
      <c r="T7" s="37" t="n">
        <f aca="false">AVERAGE(K7:M7)</f>
        <v>4.36666666666667</v>
      </c>
      <c r="U7" s="37" t="n">
        <f aca="false">AVERAGE(N7:O7)</f>
        <v>4.4</v>
      </c>
      <c r="V7" s="23" t="str">
        <f aca="false">IF(S7&gt;='판정 기준'!$B$3,"H","L")&amp;IF(T7&gt;='판정 기준'!$B$3,"H","L")&amp;IF(U7&gt;='판정 기준'!$B$3,"H","L")</f>
        <v>LLL</v>
      </c>
      <c r="W7" s="36" t="str">
        <f aca="false">INDEX('포지션 정의'!$A$2:$A$9,MATCH(V7,'포지션 정의'!$D$2:$D$9,0))</f>
        <v>G</v>
      </c>
      <c r="X7" s="36" t="str">
        <f aca="false">INDEX('포지션 정의'!$B$2:$B$9,MATCH(V7,'포지션 정의'!$D$2:$D$9,0))</f>
        <v>스펀지 흡수형</v>
      </c>
      <c r="Y7" s="43" t="str">
        <f aca="false">IF(AJ7="","가장 높은 지표: "&amp;AP7,LEFT(AJ7,LEN(AJ7)-2))</f>
        <v>가장 높은 지표: 사회적 도움 활용</v>
      </c>
      <c r="Z7" s="43" t="str">
        <f aca="false">IF(MAX(AK7:AO7)=0,"심화: "&amp;IF(N7=MIN(G7,Q7,K7,N7,P7),"실수 후 회복력",IF(K7=MIN(G7,Q7,K7,N7,P7),"경기 준비 능력",IF(G7=MIN(G7,Q7,K7,N7,P7),"경기긴장도",IF(P7=MIN(G7,Q7,K7,N7,P7),"자기 통제력","사회적 도움 활용")))),IF(MAX(AK7:AO7)&gt;='판정 기준'!$B$8-'판정 기준'!$B$4,IF(AN7=MAX(AK7:AO7),"실수 후 회복력",IF(AM7=MAX(AK7:AO7),"경기 준비 능력",IF(AK7=MAX(AK7:AO7),"경기긴장도",IF(AO7=MAX(AK7:AO7),"자기 통제력","사회적 도움 활용")))),IF(AN7&gt;0,"실수 후 회복력",IF(AM7&gt;0,"경기 준비 능력",IF(AK7&gt;0,"경기긴장도",IF(AO7&gt;0,"자기 통제력","사회적 도움 활용"))))))</f>
        <v>실수 후 회복력</v>
      </c>
      <c r="AA7" s="43" t="str">
        <f aca="false">INDEX('포지션 정의'!$L$2:$L$9,MATCH(V7,'포지션 정의'!$D$2:$D$9,0))</f>
        <v>디디에 드로그바 · 앙투안 그리즈만 · 모하메드 살라</v>
      </c>
      <c r="AB7" s="24" t="n">
        <f aca="false">ROUND(100*(1-SQRT(((S7-'포지션 정의'!$N$2)^2+(T7-'포지션 정의'!$O$2)^2+(U7-'포지션 정의'!$P$2)^2)/3)/'판정 기준'!$B$7),0)</f>
        <v>86</v>
      </c>
      <c r="AC7" s="24" t="n">
        <f aca="false">ROUND(100*(1-SQRT(((S7-'포지션 정의'!$N$3)^2+(T7-'포지션 정의'!$O$3)^2+(U7-'포지션 정의'!$P$3)^2)/3)/'판정 기준'!$B$7),0)</f>
        <v>85</v>
      </c>
      <c r="AD7" s="24" t="n">
        <f aca="false">ROUND(100*(1-SQRT(((S7-'포지션 정의'!$N$4)^2+(T7-'포지션 정의'!$O$4)^2+(U7-'포지션 정의'!$P$4)^2)/3)/'판정 기준'!$B$7),0)</f>
        <v>87</v>
      </c>
      <c r="AE7" s="24" t="n">
        <f aca="false">ROUND(100*(1-SQRT(((S7-'포지션 정의'!$N$5)^2+(T7-'포지션 정의'!$O$5)^2+(U7-'포지션 정의'!$P$5)^2)/3)/'판정 기준'!$B$7),0)</f>
        <v>85</v>
      </c>
      <c r="AF7" s="24" t="n">
        <f aca="false">ROUND(100*(1-SQRT(((S7-'포지션 정의'!$N$6)^2+(T7-'포지션 정의'!$O$6)^2+(U7-'포지션 정의'!$P$6)^2)/3)/'판정 기준'!$B$7),0)</f>
        <v>87</v>
      </c>
      <c r="AG7" s="24" t="n">
        <f aca="false">ROUND(100*(1-SQRT(((S7-'포지션 정의'!$N$7)^2+(T7-'포지션 정의'!$O$7)^2+(U7-'포지션 정의'!$P$7)^2)/3)/'판정 기준'!$B$7),0)</f>
        <v>85</v>
      </c>
      <c r="AH7" s="24" t="n">
        <f aca="false">ROUND(100*(1-SQRT(((S7-'포지션 정의'!$N$8)^2+(T7-'포지션 정의'!$O$8)^2+(U7-'포지션 정의'!$P$8)^2)/3)/'판정 기준'!$B$7),0)</f>
        <v>88</v>
      </c>
      <c r="AI7" s="24" t="n">
        <f aca="false">ROUND(100*(1-SQRT(((S7-'포지션 정의'!$N$9)^2+(T7-'포지션 정의'!$O$9)^2+(U7-'포지션 정의'!$P$9)^2)/3)/'판정 기준'!$B$7),0)</f>
        <v>84</v>
      </c>
      <c r="AJ7" s="23" t="str">
        <f aca="false">IF(G7&gt;='판정 기준'!$B$8,"경기긴장도, ","")&amp;IF(Q7&gt;='판정 기준'!$B$8,"사회적 도움 활용, ","")&amp;IF(K7&gt;='판정 기준'!$B$8,"경기 준비 능력, ","")&amp;IF(N7&gt;='판정 기준'!$B$8,"실수 후 회복력, ","")&amp;IF(P7&gt;='판정 기준'!$B$8,"자기 통제력, ","")</f>
        <v/>
      </c>
      <c r="AK7" s="23" t="n">
        <f aca="false">IF(AND(G7&lt;'판정 기준'!$B$8,OR(AJ7&lt;&gt;"",AP7&lt;&gt;"경기긴장도")),G7,0)</f>
        <v>4.4</v>
      </c>
      <c r="AL7" s="23" t="n">
        <f aca="false">IF(AND(Q7&lt;'판정 기준'!$B$8,OR(AJ7&lt;&gt;"",AP7&lt;&gt;"사회적 도움 활용")),Q7,0)</f>
        <v>0</v>
      </c>
      <c r="AM7" s="23" t="n">
        <f aca="false">IF(AND(K7&lt;'판정 기준'!$B$8,OR(AJ7&lt;&gt;"",AP7&lt;&gt;"경기 준비 능력")),K7,0)</f>
        <v>4.4</v>
      </c>
      <c r="AN7" s="23" t="n">
        <f aca="false">IF(AND(N7&lt;'판정 기준'!$B$8,OR(AJ7&lt;&gt;"",AP7&lt;&gt;"실수 후 회복력")),N7,0)</f>
        <v>4.6</v>
      </c>
      <c r="AO7" s="23" t="n">
        <f aca="false">IF(AND(P7&lt;'판정 기준'!$B$8,OR(AJ7&lt;&gt;"",AP7&lt;&gt;"자기 통제력")),P7,0)</f>
        <v>3.8</v>
      </c>
      <c r="AP7" s="23" t="str">
        <f aca="false">IF(Q7=MAX(G7,Q7,K7,N7,P7),"사회적 도움 활용",IF(P7=MAX(G7,Q7,K7,N7,P7),"자기 통제력",IF(G7=MAX(G7,Q7,K7,N7,P7),"경기긴장도",IF(K7=MAX(G7,Q7,K7,N7,P7),"경기 준비 능력","실수 후 회복력"))))</f>
        <v>사회적 도움 활용</v>
      </c>
    </row>
    <row r="8" customFormat="false" ht="17.15" hidden="false" customHeight="false" outlineLevel="0" collapsed="false">
      <c r="A8" s="13" t="s">
        <v>201</v>
      </c>
      <c r="B8" s="13" t="s">
        <v>187</v>
      </c>
      <c r="C8" s="13" t="s">
        <v>200</v>
      </c>
      <c r="D8" s="14" t="n">
        <v>46256</v>
      </c>
      <c r="E8" s="41" t="s">
        <v>198</v>
      </c>
      <c r="F8" s="42" t="n">
        <v>4.2</v>
      </c>
      <c r="G8" s="42" t="n">
        <v>4.3</v>
      </c>
      <c r="H8" s="42" t="n">
        <v>4.5</v>
      </c>
      <c r="I8" s="42" t="n">
        <v>4.6</v>
      </c>
      <c r="J8" s="42" t="n">
        <v>4.2</v>
      </c>
      <c r="K8" s="42" t="n">
        <v>3</v>
      </c>
      <c r="L8" s="42" t="n">
        <v>3</v>
      </c>
      <c r="M8" s="42" t="n">
        <v>3</v>
      </c>
      <c r="N8" s="42" t="n">
        <v>5.3</v>
      </c>
      <c r="O8" s="42" t="n">
        <v>5.3</v>
      </c>
      <c r="P8" s="42" t="n">
        <v>4</v>
      </c>
      <c r="Q8" s="42" t="n">
        <v>4.4</v>
      </c>
      <c r="R8" s="42" t="n">
        <v>5.3</v>
      </c>
      <c r="S8" s="37" t="n">
        <f aca="false">AVERAGE(G8:J8)</f>
        <v>4.4</v>
      </c>
      <c r="T8" s="37" t="n">
        <f aca="false">AVERAGE(K8:M8)</f>
        <v>3</v>
      </c>
      <c r="U8" s="37" t="n">
        <f aca="false">AVERAGE(N8:O8)</f>
        <v>5.3</v>
      </c>
      <c r="V8" s="23" t="str">
        <f aca="false">IF(S8&gt;='판정 기준'!$B$3,"H","L")&amp;IF(T8&gt;='판정 기준'!$B$3,"H","L")&amp;IF(U8&gt;='판정 기준'!$B$3,"H","L")</f>
        <v>LLH</v>
      </c>
      <c r="W8" s="36" t="str">
        <f aca="false">INDEX('포지션 정의'!$A$2:$A$9,MATCH(V8,'포지션 정의'!$D$2:$D$9,0))</f>
        <v>E</v>
      </c>
      <c r="X8" s="36" t="str">
        <f aca="false">INDEX('포지션 정의'!$B$2:$B$9,MATCH(V8,'포지션 정의'!$D$2:$D$9,0))</f>
        <v>오뚝이 회복형</v>
      </c>
      <c r="Y8" s="43" t="str">
        <f aca="false">IF(AJ8="","가장 높은 지표: "&amp;AP8,LEFT(AJ8,LEN(AJ8)-2))</f>
        <v>실수 후 회복력</v>
      </c>
      <c r="Z8" s="43" t="str">
        <f aca="false">IF(MAX(AK8:AO8)=0,"심화: "&amp;IF(N8=MIN(G8,Q8,K8,N8,P8),"실수 후 회복력",IF(K8=MIN(G8,Q8,K8,N8,P8),"경기 준비 능력",IF(G8=MIN(G8,Q8,K8,N8,P8),"경기긴장도",IF(P8=MIN(G8,Q8,K8,N8,P8),"자기 통제력","사회적 도움 활용")))),IF(MAX(AK8:AO8)&gt;='판정 기준'!$B$8-'판정 기준'!$B$4,IF(AN8=MAX(AK8:AO8),"실수 후 회복력",IF(AM8=MAX(AK8:AO8),"경기 준비 능력",IF(AK8=MAX(AK8:AO8),"경기긴장도",IF(AO8=MAX(AK8:AO8),"자기 통제력","사회적 도움 활용")))),IF(AN8&gt;0,"실수 후 회복력",IF(AM8&gt;0,"경기 준비 능력",IF(AK8&gt;0,"경기긴장도",IF(AO8&gt;0,"자기 통제력","사회적 도움 활용"))))))</f>
        <v>경기 준비 능력</v>
      </c>
      <c r="AA8" s="43" t="str">
        <f aca="false">INDEX('포지션 정의'!$L$2:$L$9,MATCH(V8,'포지션 정의'!$D$2:$D$9,0))</f>
        <v>올리비에 지루 · 디에고 포를란 · 라다멜 팔카오</v>
      </c>
      <c r="AB8" s="24" t="n">
        <f aca="false">ROUND(100*(1-SQRT(((S8-'포지션 정의'!$N$2)^2+(T8-'포지션 정의'!$O$2)^2+(U8-'포지션 정의'!$P$2)^2)/3)/'판정 기준'!$B$7),0)</f>
        <v>68</v>
      </c>
      <c r="AC8" s="24" t="n">
        <f aca="false">ROUND(100*(1-SQRT(((S8-'포지션 정의'!$N$3)^2+(T8-'포지션 정의'!$O$3)^2+(U8-'포지션 정의'!$P$3)^2)/3)/'판정 기준'!$B$7),0)</f>
        <v>68</v>
      </c>
      <c r="AD8" s="24" t="n">
        <f aca="false">ROUND(100*(1-SQRT(((S8-'포지션 정의'!$N$4)^2+(T8-'포지션 정의'!$O$4)^2+(U8-'포지션 정의'!$P$4)^2)/3)/'판정 기준'!$B$7),0)</f>
        <v>78</v>
      </c>
      <c r="AE8" s="24" t="n">
        <f aca="false">ROUND(100*(1-SQRT(((S8-'포지션 정의'!$N$5)^2+(T8-'포지션 정의'!$O$5)^2+(U8-'포지션 정의'!$P$5)^2)/3)/'판정 기준'!$B$7),0)</f>
        <v>87</v>
      </c>
      <c r="AF8" s="24" t="n">
        <f aca="false">ROUND(100*(1-SQRT(((S8-'포지션 정의'!$N$6)^2+(T8-'포지션 정의'!$O$6)^2+(U8-'포지션 정의'!$P$6)^2)/3)/'판정 기준'!$B$7),0)</f>
        <v>88</v>
      </c>
      <c r="AG8" s="24" t="n">
        <f aca="false">ROUND(100*(1-SQRT(((S8-'포지션 정의'!$N$7)^2+(T8-'포지션 정의'!$O$7)^2+(U8-'포지션 정의'!$P$7)^2)/3)/'판정 기준'!$B$7),0)</f>
        <v>74</v>
      </c>
      <c r="AH8" s="24" t="n">
        <f aca="false">ROUND(100*(1-SQRT(((S8-'포지션 정의'!$N$8)^2+(T8-'포지션 정의'!$O$8)^2+(U8-'포지션 정의'!$P$8)^2)/3)/'판정 기준'!$B$7),0)</f>
        <v>79</v>
      </c>
      <c r="AI8" s="24" t="n">
        <f aca="false">ROUND(100*(1-SQRT(((S8-'포지션 정의'!$N$9)^2+(T8-'포지션 정의'!$O$9)^2+(U8-'포지션 정의'!$P$9)^2)/3)/'판정 기준'!$B$7),0)</f>
        <v>73</v>
      </c>
      <c r="AJ8" s="23" t="str">
        <f aca="false">IF(G8&gt;='판정 기준'!$B$8,"경기긴장도, ","")&amp;IF(Q8&gt;='판정 기준'!$B$8,"사회적 도움 활용, ","")&amp;IF(K8&gt;='판정 기준'!$B$8,"경기 준비 능력, ","")&amp;IF(N8&gt;='판정 기준'!$B$8,"실수 후 회복력, ","")&amp;IF(P8&gt;='판정 기준'!$B$8,"자기 통제력, ","")</f>
        <v>실수 후 회복력, </v>
      </c>
      <c r="AK8" s="23" t="n">
        <f aca="false">IF(AND(G8&lt;'판정 기준'!$B$8,OR(AJ8&lt;&gt;"",AP8&lt;&gt;"경기긴장도")),G8,0)</f>
        <v>4.3</v>
      </c>
      <c r="AL8" s="23" t="n">
        <f aca="false">IF(AND(Q8&lt;'판정 기준'!$B$8,OR(AJ8&lt;&gt;"",AP8&lt;&gt;"사회적 도움 활용")),Q8,0)</f>
        <v>4.4</v>
      </c>
      <c r="AM8" s="23" t="n">
        <f aca="false">IF(AND(K8&lt;'판정 기준'!$B$8,OR(AJ8&lt;&gt;"",AP8&lt;&gt;"경기 준비 능력")),K8,0)</f>
        <v>3</v>
      </c>
      <c r="AN8" s="23" t="n">
        <f aca="false">IF(AND(N8&lt;'판정 기준'!$B$8,OR(AJ8&lt;&gt;"",AP8&lt;&gt;"실수 후 회복력")),N8,0)</f>
        <v>0</v>
      </c>
      <c r="AO8" s="23" t="n">
        <f aca="false">IF(AND(P8&lt;'판정 기준'!$B$8,OR(AJ8&lt;&gt;"",AP8&lt;&gt;"자기 통제력")),P8,0)</f>
        <v>4</v>
      </c>
      <c r="AP8" s="23" t="str">
        <f aca="false">IF(Q8=MAX(G8,Q8,K8,N8,P8),"사회적 도움 활용",IF(P8=MAX(G8,Q8,K8,N8,P8),"자기 통제력",IF(G8=MAX(G8,Q8,K8,N8,P8),"경기긴장도",IF(K8=MAX(G8,Q8,K8,N8,P8),"경기 준비 능력","실수 후 회복력"))))</f>
        <v>실수 후 회복력</v>
      </c>
    </row>
    <row r="9" customFormat="false" ht="17.15" hidden="false" customHeight="false" outlineLevel="0" collapsed="false">
      <c r="A9" s="13" t="s">
        <v>202</v>
      </c>
      <c r="B9" s="13" t="s">
        <v>187</v>
      </c>
      <c r="C9" s="13" t="s">
        <v>200</v>
      </c>
      <c r="D9" s="14" t="n">
        <v>46256</v>
      </c>
      <c r="E9" s="41" t="s">
        <v>193</v>
      </c>
      <c r="F9" s="42" t="n">
        <v>3.7</v>
      </c>
      <c r="G9" s="42" t="n">
        <v>3.4</v>
      </c>
      <c r="H9" s="42" t="n">
        <v>3.3</v>
      </c>
      <c r="I9" s="42" t="n">
        <v>3.8</v>
      </c>
      <c r="J9" s="42" t="n">
        <v>3</v>
      </c>
      <c r="K9" s="42" t="n">
        <v>4.5</v>
      </c>
      <c r="L9" s="42" t="n">
        <v>4.7</v>
      </c>
      <c r="M9" s="42" t="n">
        <v>4.4</v>
      </c>
      <c r="N9" s="42" t="n">
        <v>3.1</v>
      </c>
      <c r="O9" s="42" t="n">
        <v>3.7</v>
      </c>
      <c r="P9" s="42" t="n">
        <v>3.8</v>
      </c>
      <c r="Q9" s="42" t="n">
        <v>5.2</v>
      </c>
      <c r="R9" s="42" t="n">
        <v>5.3</v>
      </c>
      <c r="S9" s="37" t="n">
        <f aca="false">AVERAGE(G9:J9)</f>
        <v>3.375</v>
      </c>
      <c r="T9" s="37" t="n">
        <f aca="false">AVERAGE(K9:M9)</f>
        <v>4.53333333333333</v>
      </c>
      <c r="U9" s="37" t="n">
        <f aca="false">AVERAGE(N9:O9)</f>
        <v>3.4</v>
      </c>
      <c r="V9" s="23" t="str">
        <f aca="false">IF(S9&gt;='판정 기준'!$B$3,"H","L")&amp;IF(T9&gt;='판정 기준'!$B$3,"H","L")&amp;IF(U9&gt;='판정 기준'!$B$3,"H","L")</f>
        <v>LHL</v>
      </c>
      <c r="W9" s="36" t="str">
        <f aca="false">INDEX('포지션 정의'!$A$2:$A$9,MATCH(V9,'포지션 정의'!$D$2:$D$9,0))</f>
        <v>A</v>
      </c>
      <c r="X9" s="36" t="str">
        <f aca="false">INDEX('포지션 정의'!$B$2:$B$9,MATCH(V9,'포지션 정의'!$D$2:$D$9,0))</f>
        <v>섬세한 준비형</v>
      </c>
      <c r="Y9" s="43" t="str">
        <f aca="false">IF(AJ9="","가장 높은 지표: "&amp;AP9,LEFT(AJ9,LEN(AJ9)-2))</f>
        <v>사회적 도움 활용</v>
      </c>
      <c r="Z9" s="43" t="str">
        <f aca="false">IF(MAX(AK9:AO9)=0,"심화: "&amp;IF(N9=MIN(G9,Q9,K9,N9,P9),"실수 후 회복력",IF(K9=MIN(G9,Q9,K9,N9,P9),"경기 준비 능력",IF(G9=MIN(G9,Q9,K9,N9,P9),"경기긴장도",IF(P9=MIN(G9,Q9,K9,N9,P9),"자기 통제력","사회적 도움 활용")))),IF(MAX(AK9:AO9)&gt;='판정 기준'!$B$8-'판정 기준'!$B$4,IF(AN9=MAX(AK9:AO9),"실수 후 회복력",IF(AM9=MAX(AK9:AO9),"경기 준비 능력",IF(AK9=MAX(AK9:AO9),"경기긴장도",IF(AO9=MAX(AK9:AO9),"자기 통제력","사회적 도움 활용")))),IF(AN9&gt;0,"실수 후 회복력",IF(AM9&gt;0,"경기 준비 능력",IF(AK9&gt;0,"경기긴장도",IF(AO9&gt;0,"자기 통제력","사회적 도움 활용"))))))</f>
        <v>경기 준비 능력</v>
      </c>
      <c r="AA9" s="43" t="str">
        <f aca="false">INDEX('포지션 정의'!$L$2:$L$9,MATCH(V9,'포지션 정의'!$D$2:$D$9,0))</f>
        <v>로베르트 레반도프스키 · 제임스 밀너 · 마르틴 외데고르</v>
      </c>
      <c r="AB9" s="24" t="n">
        <f aca="false">ROUND(100*(1-SQRT(((S9-'포지션 정의'!$N$2)^2+(T9-'포지션 정의'!$O$2)^2+(U9-'포지션 정의'!$P$2)^2)/3)/'판정 기준'!$B$7),0)</f>
        <v>90</v>
      </c>
      <c r="AC9" s="24" t="n">
        <f aca="false">ROUND(100*(1-SQRT(((S9-'포지션 정의'!$N$3)^2+(T9-'포지션 정의'!$O$3)^2+(U9-'포지션 정의'!$P$3)^2)/3)/'판정 기준'!$B$7),0)</f>
        <v>77</v>
      </c>
      <c r="AD9" s="24" t="n">
        <f aca="false">ROUND(100*(1-SQRT(((S9-'포지션 정의'!$N$4)^2+(T9-'포지션 정의'!$O$4)^2+(U9-'포지션 정의'!$P$4)^2)/3)/'판정 기준'!$B$7),0)</f>
        <v>77</v>
      </c>
      <c r="AE9" s="24" t="n">
        <f aca="false">ROUND(100*(1-SQRT(((S9-'포지션 정의'!$N$5)^2+(T9-'포지션 정의'!$O$5)^2+(U9-'포지션 정의'!$P$5)^2)/3)/'판정 기준'!$B$7),0)</f>
        <v>69</v>
      </c>
      <c r="AF9" s="24" t="n">
        <f aca="false">ROUND(100*(1-SQRT(((S9-'포지션 정의'!$N$6)^2+(T9-'포지션 정의'!$O$6)^2+(U9-'포지션 정의'!$P$6)^2)/3)/'판정 기준'!$B$7),0)</f>
        <v>77</v>
      </c>
      <c r="AG9" s="24" t="n">
        <f aca="false">ROUND(100*(1-SQRT(((S9-'포지션 정의'!$N$7)^2+(T9-'포지션 정의'!$O$7)^2+(U9-'포지션 정의'!$P$7)^2)/3)/'판정 기준'!$B$7),0)</f>
        <v>77</v>
      </c>
      <c r="AH9" s="24" t="n">
        <f aca="false">ROUND(100*(1-SQRT(((S9-'포지션 정의'!$N$8)^2+(T9-'포지션 정의'!$O$8)^2+(U9-'포지션 정의'!$P$8)^2)/3)/'판정 기준'!$B$7),0)</f>
        <v>89</v>
      </c>
      <c r="AI9" s="24" t="n">
        <f aca="false">ROUND(100*(1-SQRT(((S9-'포지션 정의'!$N$9)^2+(T9-'포지션 정의'!$O$9)^2+(U9-'포지션 정의'!$P$9)^2)/3)/'판정 기준'!$B$7),0)</f>
        <v>69</v>
      </c>
      <c r="AJ9" s="23" t="str">
        <f aca="false">IF(G9&gt;='판정 기준'!$B$8,"경기긴장도, ","")&amp;IF(Q9&gt;='판정 기준'!$B$8,"사회적 도움 활용, ","")&amp;IF(K9&gt;='판정 기준'!$B$8,"경기 준비 능력, ","")&amp;IF(N9&gt;='판정 기준'!$B$8,"실수 후 회복력, ","")&amp;IF(P9&gt;='판정 기준'!$B$8,"자기 통제력, ","")</f>
        <v>사회적 도움 활용, </v>
      </c>
      <c r="AK9" s="23" t="n">
        <f aca="false">IF(AND(G9&lt;'판정 기준'!$B$8,OR(AJ9&lt;&gt;"",AP9&lt;&gt;"경기긴장도")),G9,0)</f>
        <v>3.4</v>
      </c>
      <c r="AL9" s="23" t="n">
        <f aca="false">IF(AND(Q9&lt;'판정 기준'!$B$8,OR(AJ9&lt;&gt;"",AP9&lt;&gt;"사회적 도움 활용")),Q9,0)</f>
        <v>0</v>
      </c>
      <c r="AM9" s="23" t="n">
        <f aca="false">IF(AND(K9&lt;'판정 기준'!$B$8,OR(AJ9&lt;&gt;"",AP9&lt;&gt;"경기 준비 능력")),K9,0)</f>
        <v>4.5</v>
      </c>
      <c r="AN9" s="23" t="n">
        <f aca="false">IF(AND(N9&lt;'판정 기준'!$B$8,OR(AJ9&lt;&gt;"",AP9&lt;&gt;"실수 후 회복력")),N9,0)</f>
        <v>3.1</v>
      </c>
      <c r="AO9" s="23" t="n">
        <f aca="false">IF(AND(P9&lt;'판정 기준'!$B$8,OR(AJ9&lt;&gt;"",AP9&lt;&gt;"자기 통제력")),P9,0)</f>
        <v>3.8</v>
      </c>
      <c r="AP9" s="23" t="str">
        <f aca="false">IF(Q9=MAX(G9,Q9,K9,N9,P9),"사회적 도움 활용",IF(P9=MAX(G9,Q9,K9,N9,P9),"자기 통제력",IF(G9=MAX(G9,Q9,K9,N9,P9),"경기긴장도",IF(K9=MAX(G9,Q9,K9,N9,P9),"경기 준비 능력","실수 후 회복력"))))</f>
        <v>사회적 도움 활용</v>
      </c>
    </row>
    <row r="10" customFormat="false" ht="17.15" hidden="false" customHeight="false" outlineLevel="0" collapsed="false">
      <c r="A10" s="13" t="s">
        <v>203</v>
      </c>
      <c r="B10" s="13" t="s">
        <v>187</v>
      </c>
      <c r="C10" s="13" t="s">
        <v>200</v>
      </c>
      <c r="D10" s="14" t="n">
        <v>46256</v>
      </c>
      <c r="E10" s="41" t="s">
        <v>193</v>
      </c>
      <c r="F10" s="42" t="n">
        <v>4.7</v>
      </c>
      <c r="G10" s="42" t="n">
        <v>4.7</v>
      </c>
      <c r="H10" s="42" t="n">
        <v>3.8</v>
      </c>
      <c r="I10" s="42" t="n">
        <v>5.2</v>
      </c>
      <c r="J10" s="42" t="n">
        <v>4.7</v>
      </c>
      <c r="K10" s="42" t="n">
        <v>3.8</v>
      </c>
      <c r="L10" s="42" t="n">
        <v>3.5</v>
      </c>
      <c r="M10" s="42" t="n">
        <v>4</v>
      </c>
      <c r="N10" s="42" t="n">
        <v>5.3</v>
      </c>
      <c r="O10" s="42" t="n">
        <v>5.3</v>
      </c>
      <c r="P10" s="42" t="n">
        <v>5</v>
      </c>
      <c r="Q10" s="42" t="n">
        <v>5.4</v>
      </c>
      <c r="R10" s="42" t="n">
        <v>5.7</v>
      </c>
      <c r="S10" s="37" t="n">
        <f aca="false">AVERAGE(G10:J10)</f>
        <v>4.6</v>
      </c>
      <c r="T10" s="37" t="n">
        <f aca="false">AVERAGE(K10:M10)</f>
        <v>3.76666666666667</v>
      </c>
      <c r="U10" s="37" t="n">
        <f aca="false">AVERAGE(N10:O10)</f>
        <v>5.3</v>
      </c>
      <c r="V10" s="23" t="str">
        <f aca="false">IF(S10&gt;='판정 기준'!$B$3,"H","L")&amp;IF(T10&gt;='판정 기준'!$B$3,"H","L")&amp;IF(U10&gt;='판정 기준'!$B$3,"H","L")</f>
        <v>HLH</v>
      </c>
      <c r="W10" s="36" t="str">
        <f aca="false">INDEX('포지션 정의'!$A$2:$A$9,MATCH(V10,'포지션 정의'!$D$2:$D$9,0))</f>
        <v>D</v>
      </c>
      <c r="X10" s="36" t="str">
        <f aca="false">INDEX('포지션 정의'!$B$2:$B$9,MATCH(V10,'포지션 정의'!$D$2:$D$9,0))</f>
        <v>실전 승부사형</v>
      </c>
      <c r="Y10" s="43" t="str">
        <f aca="false">IF(AJ10="","가장 높은 지표: "&amp;AP10,LEFT(AJ10,LEN(AJ10)-2))</f>
        <v>사회적 도움 활용, 실수 후 회복력, 자기 통제력</v>
      </c>
      <c r="Z10" s="43" t="str">
        <f aca="false">IF(MAX(AK10:AO10)=0,"심화: "&amp;IF(N10=MIN(G10,Q10,K10,N10,P10),"실수 후 회복력",IF(K10=MIN(G10,Q10,K10,N10,P10),"경기 준비 능력",IF(G10=MIN(G10,Q10,K10,N10,P10),"경기긴장도",IF(P10=MIN(G10,Q10,K10,N10,P10),"자기 통제력","사회적 도움 활용")))),IF(MAX(AK10:AO10)&gt;='판정 기준'!$B$8-'판정 기준'!$B$4,IF(AN10=MAX(AK10:AO10),"실수 후 회복력",IF(AM10=MAX(AK10:AO10),"경기 준비 능력",IF(AK10=MAX(AK10:AO10),"경기긴장도",IF(AO10=MAX(AK10:AO10),"자기 통제력","사회적 도움 활용")))),IF(AN10&gt;0,"실수 후 회복력",IF(AM10&gt;0,"경기 준비 능력",IF(AK10&gt;0,"경기긴장도",IF(AO10&gt;0,"자기 통제력","사회적 도움 활용"))))))</f>
        <v>경기긴장도</v>
      </c>
      <c r="AA10" s="43" t="str">
        <f aca="false">INDEX('포지션 정의'!$L$2:$L$9,MATCH(V10,'포지션 정의'!$D$2:$D$9,0))</f>
        <v>즐라탄 이브라히모비치 · 호나우지뉴 · 디에고 마라도나</v>
      </c>
      <c r="AB10" s="24" t="n">
        <f aca="false">ROUND(100*(1-SQRT(((S10-'포지션 정의'!$N$2)^2+(T10-'포지션 정의'!$O$2)^2+(U10-'포지션 정의'!$P$2)^2)/3)/'판정 기준'!$B$7),0)</f>
        <v>74</v>
      </c>
      <c r="AC10" s="24" t="n">
        <f aca="false">ROUND(100*(1-SQRT(((S10-'포지션 정의'!$N$3)^2+(T10-'포지션 정의'!$O$3)^2+(U10-'포지션 정의'!$P$3)^2)/3)/'판정 기준'!$B$7),0)</f>
        <v>75</v>
      </c>
      <c r="AD10" s="24" t="n">
        <f aca="false">ROUND(100*(1-SQRT(((S10-'포지션 정의'!$N$4)^2+(T10-'포지션 정의'!$O$4)^2+(U10-'포지션 정의'!$P$4)^2)/3)/'판정 기준'!$B$7),0)</f>
        <v>81</v>
      </c>
      <c r="AE10" s="24" t="n">
        <f aca="false">ROUND(100*(1-SQRT(((S10-'포지션 정의'!$N$5)^2+(T10-'포지션 정의'!$O$5)^2+(U10-'포지션 정의'!$P$5)^2)/3)/'판정 기준'!$B$7),0)</f>
        <v>93</v>
      </c>
      <c r="AF10" s="24" t="n">
        <f aca="false">ROUND(100*(1-SQRT(((S10-'포지션 정의'!$N$6)^2+(T10-'포지션 정의'!$O$6)^2+(U10-'포지션 정의'!$P$6)^2)/3)/'판정 기준'!$B$7),0)</f>
        <v>91</v>
      </c>
      <c r="AG10" s="24" t="n">
        <f aca="false">ROUND(100*(1-SQRT(((S10-'포지션 정의'!$N$7)^2+(T10-'포지션 정의'!$O$7)^2+(U10-'포지션 정의'!$P$7)^2)/3)/'판정 기준'!$B$7),0)</f>
        <v>81</v>
      </c>
      <c r="AH10" s="24" t="n">
        <f aca="false">ROUND(100*(1-SQRT(((S10-'포지션 정의'!$N$8)^2+(T10-'포지션 정의'!$O$8)^2+(U10-'포지션 정의'!$P$8)^2)/3)/'판정 기준'!$B$7),0)</f>
        <v>80</v>
      </c>
      <c r="AI10" s="24" t="n">
        <f aca="false">ROUND(100*(1-SQRT(((S10-'포지션 정의'!$N$9)^2+(T10-'포지션 정의'!$O$9)^2+(U10-'포지션 정의'!$P$9)^2)/3)/'판정 기준'!$B$7),0)</f>
        <v>82</v>
      </c>
      <c r="AJ10" s="23" t="str">
        <f aca="false">IF(G10&gt;='판정 기준'!$B$8,"경기긴장도, ","")&amp;IF(Q10&gt;='판정 기준'!$B$8,"사회적 도움 활용, ","")&amp;IF(K10&gt;='판정 기준'!$B$8,"경기 준비 능력, ","")&amp;IF(N10&gt;='판정 기준'!$B$8,"실수 후 회복력, ","")&amp;IF(P10&gt;='판정 기준'!$B$8,"자기 통제력, ","")</f>
        <v>사회적 도움 활용, 실수 후 회복력, 자기 통제력, </v>
      </c>
      <c r="AK10" s="23" t="n">
        <f aca="false">IF(AND(G10&lt;'판정 기준'!$B$8,OR(AJ10&lt;&gt;"",AP10&lt;&gt;"경기긴장도")),G10,0)</f>
        <v>4.7</v>
      </c>
      <c r="AL10" s="23" t="n">
        <f aca="false">IF(AND(Q10&lt;'판정 기준'!$B$8,OR(AJ10&lt;&gt;"",AP10&lt;&gt;"사회적 도움 활용")),Q10,0)</f>
        <v>0</v>
      </c>
      <c r="AM10" s="23" t="n">
        <f aca="false">IF(AND(K10&lt;'판정 기준'!$B$8,OR(AJ10&lt;&gt;"",AP10&lt;&gt;"경기 준비 능력")),K10,0)</f>
        <v>3.8</v>
      </c>
      <c r="AN10" s="23" t="n">
        <f aca="false">IF(AND(N10&lt;'판정 기준'!$B$8,OR(AJ10&lt;&gt;"",AP10&lt;&gt;"실수 후 회복력")),N10,0)</f>
        <v>0</v>
      </c>
      <c r="AO10" s="23" t="n">
        <f aca="false">IF(AND(P10&lt;'판정 기준'!$B$8,OR(AJ10&lt;&gt;"",AP10&lt;&gt;"자기 통제력")),P10,0)</f>
        <v>0</v>
      </c>
      <c r="AP10" s="23" t="str">
        <f aca="false">IF(Q10=MAX(G10,Q10,K10,N10,P10),"사회적 도움 활용",IF(P10=MAX(G10,Q10,K10,N10,P10),"자기 통제력",IF(G10=MAX(G10,Q10,K10,N10,P10),"경기긴장도",IF(K10=MAX(G10,Q10,K10,N10,P10),"경기 준비 능력","실수 후 회복력"))))</f>
        <v>사회적 도움 활용</v>
      </c>
    </row>
    <row r="11" customFormat="false" ht="17.15" hidden="false" customHeight="false" outlineLevel="0" collapsed="false">
      <c r="A11" s="13" t="s">
        <v>204</v>
      </c>
      <c r="B11" s="13" t="s">
        <v>187</v>
      </c>
      <c r="C11" s="13" t="s">
        <v>200</v>
      </c>
      <c r="D11" s="14" t="n">
        <v>46256</v>
      </c>
      <c r="E11" s="41" t="s">
        <v>195</v>
      </c>
      <c r="F11" s="42" t="n">
        <v>4.6</v>
      </c>
      <c r="G11" s="42" t="n">
        <v>4.2</v>
      </c>
      <c r="H11" s="42" t="n">
        <v>3.7</v>
      </c>
      <c r="I11" s="42" t="n">
        <v>5</v>
      </c>
      <c r="J11" s="42" t="n">
        <v>3.5</v>
      </c>
      <c r="K11" s="42" t="n">
        <v>4.5</v>
      </c>
      <c r="L11" s="42" t="n">
        <v>4.2</v>
      </c>
      <c r="M11" s="42" t="n">
        <v>4.9</v>
      </c>
      <c r="N11" s="42" t="n">
        <v>5.1</v>
      </c>
      <c r="O11" s="42" t="n">
        <v>5</v>
      </c>
      <c r="P11" s="42" t="n">
        <v>4.3</v>
      </c>
      <c r="Q11" s="42" t="n">
        <v>5.2</v>
      </c>
      <c r="R11" s="42" t="n">
        <v>5</v>
      </c>
      <c r="S11" s="37" t="n">
        <f aca="false">AVERAGE(G11:J11)</f>
        <v>4.1</v>
      </c>
      <c r="T11" s="37" t="n">
        <f aca="false">AVERAGE(K11:M11)</f>
        <v>4.53333333333333</v>
      </c>
      <c r="U11" s="37" t="n">
        <f aca="false">AVERAGE(N11:O11)</f>
        <v>5.05</v>
      </c>
      <c r="V11" s="23" t="str">
        <f aca="false">IF(S11&gt;='판정 기준'!$B$3,"H","L")&amp;IF(T11&gt;='판정 기준'!$B$3,"H","L")&amp;IF(U11&gt;='판정 기준'!$B$3,"H","L")</f>
        <v>LHH</v>
      </c>
      <c r="W11" s="36" t="str">
        <f aca="false">INDEX('포지션 정의'!$A$2:$A$9,MATCH(V11,'포지션 정의'!$D$2:$D$9,0))</f>
        <v>F</v>
      </c>
      <c r="X11" s="36" t="str">
        <f aca="false">INDEX('포지션 정의'!$B$2:$B$9,MATCH(V11,'포지션 정의'!$D$2:$D$9,0))</f>
        <v>성실한 도전자형</v>
      </c>
      <c r="Y11" s="43" t="str">
        <f aca="false">IF(AJ11="","가장 높은 지표: "&amp;AP11,LEFT(AJ11,LEN(AJ11)-2))</f>
        <v>사회적 도움 활용, 실수 후 회복력</v>
      </c>
      <c r="Z11" s="43" t="str">
        <f aca="false">IF(MAX(AK11:AO11)=0,"심화: "&amp;IF(N11=MIN(G11,Q11,K11,N11,P11),"실수 후 회복력",IF(K11=MIN(G11,Q11,K11,N11,P11),"경기 준비 능력",IF(G11=MIN(G11,Q11,K11,N11,P11),"경기긴장도",IF(P11=MIN(G11,Q11,K11,N11,P11),"자기 통제력","사회적 도움 활용")))),IF(MAX(AK11:AO11)&gt;='판정 기준'!$B$8-'판정 기준'!$B$4,IF(AN11=MAX(AK11:AO11),"실수 후 회복력",IF(AM11=MAX(AK11:AO11),"경기 준비 능력",IF(AK11=MAX(AK11:AO11),"경기긴장도",IF(AO11=MAX(AK11:AO11),"자기 통제력","사회적 도움 활용")))),IF(AN11&gt;0,"실수 후 회복력",IF(AM11&gt;0,"경기 준비 능력",IF(AK11&gt;0,"경기긴장도",IF(AO11&gt;0,"자기 통제력","사회적 도움 활용"))))))</f>
        <v>경기 준비 능력</v>
      </c>
      <c r="AA11" s="43" t="str">
        <f aca="false">INDEX('포지션 정의'!$L$2:$L$9,MATCH(V11,'포지션 정의'!$D$2:$D$9,0))</f>
        <v>제이미 바디 · 은골로 캉테 · 박지성</v>
      </c>
      <c r="AB11" s="24" t="n">
        <f aca="false">ROUND(100*(1-SQRT(((S11-'포지션 정의'!$N$2)^2+(T11-'포지션 정의'!$O$2)^2+(U11-'포지션 정의'!$P$2)^2)/3)/'판정 기준'!$B$7),0)</f>
        <v>83</v>
      </c>
      <c r="AC11" s="24" t="n">
        <f aca="false">ROUND(100*(1-SQRT(((S11-'포지션 정의'!$N$3)^2+(T11-'포지션 정의'!$O$3)^2+(U11-'포지션 정의'!$P$3)^2)/3)/'판정 기준'!$B$7),0)</f>
        <v>79</v>
      </c>
      <c r="AD11" s="24" t="n">
        <f aca="false">ROUND(100*(1-SQRT(((S11-'포지션 정의'!$N$4)^2+(T11-'포지션 정의'!$O$4)^2+(U11-'포지션 정의'!$P$4)^2)/3)/'판정 기준'!$B$7),0)</f>
        <v>79</v>
      </c>
      <c r="AE11" s="24" t="n">
        <f aca="false">ROUND(100*(1-SQRT(((S11-'포지션 정의'!$N$5)^2+(T11-'포지션 정의'!$O$5)^2+(U11-'포지션 정의'!$P$5)^2)/3)/'판정 기준'!$B$7),0)</f>
        <v>85</v>
      </c>
      <c r="AF11" s="24" t="n">
        <f aca="false">ROUND(100*(1-SQRT(((S11-'포지션 정의'!$N$6)^2+(T11-'포지션 정의'!$O$6)^2+(U11-'포지션 정의'!$P$6)^2)/3)/'판정 기준'!$B$7),0)</f>
        <v>91</v>
      </c>
      <c r="AG11" s="24" t="n">
        <f aca="false">ROUND(100*(1-SQRT(((S11-'포지션 정의'!$N$7)^2+(T11-'포지션 정의'!$O$7)^2+(U11-'포지션 정의'!$P$7)^2)/3)/'판정 기준'!$B$7),0)</f>
        <v>91</v>
      </c>
      <c r="AH11" s="24" t="n">
        <f aca="false">ROUND(100*(1-SQRT(((S11-'포지션 정의'!$N$8)^2+(T11-'포지션 정의'!$O$8)^2+(U11-'포지션 정의'!$P$8)^2)/3)/'판정 기준'!$B$7),0)</f>
        <v>83</v>
      </c>
      <c r="AI11" s="24" t="n">
        <f aca="false">ROUND(100*(1-SQRT(((S11-'포지션 정의'!$N$9)^2+(T11-'포지션 정의'!$O$9)^2+(U11-'포지션 정의'!$P$9)^2)/3)/'판정 기준'!$B$7),0)</f>
        <v>85</v>
      </c>
      <c r="AJ11" s="23" t="str">
        <f aca="false">IF(G11&gt;='판정 기준'!$B$8,"경기긴장도, ","")&amp;IF(Q11&gt;='판정 기준'!$B$8,"사회적 도움 활용, ","")&amp;IF(K11&gt;='판정 기준'!$B$8,"경기 준비 능력, ","")&amp;IF(N11&gt;='판정 기준'!$B$8,"실수 후 회복력, ","")&amp;IF(P11&gt;='판정 기준'!$B$8,"자기 통제력, ","")</f>
        <v>사회적 도움 활용, 실수 후 회복력, </v>
      </c>
      <c r="AK11" s="23" t="n">
        <f aca="false">IF(AND(G11&lt;'판정 기준'!$B$8,OR(AJ11&lt;&gt;"",AP11&lt;&gt;"경기긴장도")),G11,0)</f>
        <v>4.2</v>
      </c>
      <c r="AL11" s="23" t="n">
        <f aca="false">IF(AND(Q11&lt;'판정 기준'!$B$8,OR(AJ11&lt;&gt;"",AP11&lt;&gt;"사회적 도움 활용")),Q11,0)</f>
        <v>0</v>
      </c>
      <c r="AM11" s="23" t="n">
        <f aca="false">IF(AND(K11&lt;'판정 기준'!$B$8,OR(AJ11&lt;&gt;"",AP11&lt;&gt;"경기 준비 능력")),K11,0)</f>
        <v>4.5</v>
      </c>
      <c r="AN11" s="23" t="n">
        <f aca="false">IF(AND(N11&lt;'판정 기준'!$B$8,OR(AJ11&lt;&gt;"",AP11&lt;&gt;"실수 후 회복력")),N11,0)</f>
        <v>0</v>
      </c>
      <c r="AO11" s="23" t="n">
        <f aca="false">IF(AND(P11&lt;'판정 기준'!$B$8,OR(AJ11&lt;&gt;"",AP11&lt;&gt;"자기 통제력")),P11,0)</f>
        <v>4.3</v>
      </c>
      <c r="AP11" s="23" t="str">
        <f aca="false">IF(Q11=MAX(G11,Q11,K11,N11,P11),"사회적 도움 활용",IF(P11=MAX(G11,Q11,K11,N11,P11),"자기 통제력",IF(G11=MAX(G11,Q11,K11,N11,P11),"경기긴장도",IF(K11=MAX(G11,Q11,K11,N11,P11),"경기 준비 능력","실수 후 회복력"))))</f>
        <v>사회적 도움 활용</v>
      </c>
    </row>
    <row r="12" customFormat="false" ht="17.15" hidden="false" customHeight="false" outlineLevel="0" collapsed="false">
      <c r="A12" s="13" t="s">
        <v>205</v>
      </c>
      <c r="B12" s="13" t="s">
        <v>187</v>
      </c>
      <c r="C12" s="13" t="s">
        <v>200</v>
      </c>
      <c r="D12" s="14" t="n">
        <v>46256</v>
      </c>
      <c r="E12" s="41" t="s">
        <v>193</v>
      </c>
      <c r="F12" s="42" t="n">
        <v>3.8</v>
      </c>
      <c r="G12" s="42" t="n">
        <v>3.4</v>
      </c>
      <c r="H12" s="42" t="n">
        <v>3</v>
      </c>
      <c r="I12" s="42" t="n">
        <v>4.4</v>
      </c>
      <c r="J12" s="42" t="n">
        <v>3</v>
      </c>
      <c r="K12" s="42" t="n">
        <v>4.8</v>
      </c>
      <c r="L12" s="42" t="n">
        <v>4.8</v>
      </c>
      <c r="M12" s="42" t="n">
        <v>4.7</v>
      </c>
      <c r="N12" s="42" t="n">
        <v>3.4</v>
      </c>
      <c r="O12" s="42" t="n">
        <v>4</v>
      </c>
      <c r="P12" s="42" t="n">
        <v>3.8</v>
      </c>
      <c r="Q12" s="42" t="n">
        <v>4.4</v>
      </c>
      <c r="R12" s="42" t="n">
        <v>4.7</v>
      </c>
      <c r="S12" s="37" t="n">
        <f aca="false">AVERAGE(G12:J12)</f>
        <v>3.45</v>
      </c>
      <c r="T12" s="37" t="n">
        <f aca="false">AVERAGE(K12:M12)</f>
        <v>4.76666666666667</v>
      </c>
      <c r="U12" s="37" t="n">
        <f aca="false">AVERAGE(N12:O12)</f>
        <v>3.7</v>
      </c>
      <c r="V12" s="23" t="str">
        <f aca="false">IF(S12&gt;='판정 기준'!$B$3,"H","L")&amp;IF(T12&gt;='판정 기준'!$B$3,"H","L")&amp;IF(U12&gt;='판정 기준'!$B$3,"H","L")</f>
        <v>LHL</v>
      </c>
      <c r="W12" s="36" t="str">
        <f aca="false">INDEX('포지션 정의'!$A$2:$A$9,MATCH(V12,'포지션 정의'!$D$2:$D$9,0))</f>
        <v>A</v>
      </c>
      <c r="X12" s="36" t="str">
        <f aca="false">INDEX('포지션 정의'!$B$2:$B$9,MATCH(V12,'포지션 정의'!$D$2:$D$9,0))</f>
        <v>섬세한 준비형</v>
      </c>
      <c r="Y12" s="43" t="str">
        <f aca="false">IF(AJ12="","가장 높은 지표: "&amp;AP12,LEFT(AJ12,LEN(AJ12)-2))</f>
        <v>경기 준비 능력</v>
      </c>
      <c r="Z12" s="43" t="str">
        <f aca="false">IF(MAX(AK12:AO12)=0,"심화: "&amp;IF(N12=MIN(G12,Q12,K12,N12,P12),"실수 후 회복력",IF(K12=MIN(G12,Q12,K12,N12,P12),"경기 준비 능력",IF(G12=MIN(G12,Q12,K12,N12,P12),"경기긴장도",IF(P12=MIN(G12,Q12,K12,N12,P12),"자기 통제력","사회적 도움 활용")))),IF(MAX(AK12:AO12)&gt;='판정 기준'!$B$8-'판정 기준'!$B$4,IF(AN12=MAX(AK12:AO12),"실수 후 회복력",IF(AM12=MAX(AK12:AO12),"경기 준비 능력",IF(AK12=MAX(AK12:AO12),"경기긴장도",IF(AO12=MAX(AK12:AO12),"자기 통제력","사회적 도움 활용")))),IF(AN12&gt;0,"실수 후 회복력",IF(AM12&gt;0,"경기 준비 능력",IF(AK12&gt;0,"경기긴장도",IF(AO12&gt;0,"자기 통제력","사회적 도움 활용"))))))</f>
        <v>실수 후 회복력</v>
      </c>
      <c r="AA12" s="43" t="str">
        <f aca="false">INDEX('포지션 정의'!$L$2:$L$9,MATCH(V12,'포지션 정의'!$D$2:$D$9,0))</f>
        <v>로베르트 레반도프스키 · 제임스 밀너 · 마르틴 외데고르</v>
      </c>
      <c r="AB12" s="24" t="n">
        <f aca="false">ROUND(100*(1-SQRT(((S12-'포지션 정의'!$N$2)^2+(T12-'포지션 정의'!$O$2)^2+(U12-'포지션 정의'!$P$2)^2)/3)/'판정 기준'!$B$7),0)</f>
        <v>93</v>
      </c>
      <c r="AC12" s="24" t="n">
        <f aca="false">ROUND(100*(1-SQRT(((S12-'포지션 정의'!$N$3)^2+(T12-'포지션 정의'!$O$3)^2+(U12-'포지션 정의'!$P$3)^2)/3)/'판정 기준'!$B$7),0)</f>
        <v>79</v>
      </c>
      <c r="AD12" s="24" t="n">
        <f aca="false">ROUND(100*(1-SQRT(((S12-'포지션 정의'!$N$4)^2+(T12-'포지션 정의'!$O$4)^2+(U12-'포지션 정의'!$P$4)^2)/3)/'판정 기준'!$B$7),0)</f>
        <v>77</v>
      </c>
      <c r="AE12" s="24" t="n">
        <f aca="false">ROUND(100*(1-SQRT(((S12-'포지션 정의'!$N$5)^2+(T12-'포지션 정의'!$O$5)^2+(U12-'포지션 정의'!$P$5)^2)/3)/'판정 기준'!$B$7),0)</f>
        <v>71</v>
      </c>
      <c r="AF12" s="24" t="n">
        <f aca="false">ROUND(100*(1-SQRT(((S12-'포지션 정의'!$N$6)^2+(T12-'포지션 정의'!$O$6)^2+(U12-'포지션 정의'!$P$6)^2)/3)/'판정 기준'!$B$7),0)</f>
        <v>79</v>
      </c>
      <c r="AG12" s="24" t="n">
        <f aca="false">ROUND(100*(1-SQRT(((S12-'포지션 정의'!$N$7)^2+(T12-'포지션 정의'!$O$7)^2+(U12-'포지션 정의'!$P$7)^2)/3)/'판정 기준'!$B$7),0)</f>
        <v>82</v>
      </c>
      <c r="AH12" s="24" t="n">
        <f aca="false">ROUND(100*(1-SQRT(((S12-'포지션 정의'!$N$8)^2+(T12-'포지션 정의'!$O$8)^2+(U12-'포지션 정의'!$P$8)^2)/3)/'판정 기준'!$B$7),0)</f>
        <v>88</v>
      </c>
      <c r="AI12" s="24" t="n">
        <f aca="false">ROUND(100*(1-SQRT(((S12-'포지션 정의'!$N$9)^2+(T12-'포지션 정의'!$O$9)^2+(U12-'포지션 정의'!$P$9)^2)/3)/'판정 기준'!$B$7),0)</f>
        <v>73</v>
      </c>
      <c r="AJ12" s="23" t="str">
        <f aca="false">IF(G12&gt;='판정 기준'!$B$8,"경기긴장도, ","")&amp;IF(Q12&gt;='판정 기준'!$B$8,"사회적 도움 활용, ","")&amp;IF(K12&gt;='판정 기준'!$B$8,"경기 준비 능력, ","")&amp;IF(N12&gt;='판정 기준'!$B$8,"실수 후 회복력, ","")&amp;IF(P12&gt;='판정 기준'!$B$8,"자기 통제력, ","")</f>
        <v>경기 준비 능력, </v>
      </c>
      <c r="AK12" s="23" t="n">
        <f aca="false">IF(AND(G12&lt;'판정 기준'!$B$8,OR(AJ12&lt;&gt;"",AP12&lt;&gt;"경기긴장도")),G12,0)</f>
        <v>3.4</v>
      </c>
      <c r="AL12" s="23" t="n">
        <f aca="false">IF(AND(Q12&lt;'판정 기준'!$B$8,OR(AJ12&lt;&gt;"",AP12&lt;&gt;"사회적 도움 활용")),Q12,0)</f>
        <v>4.4</v>
      </c>
      <c r="AM12" s="23" t="n">
        <f aca="false">IF(AND(K12&lt;'판정 기준'!$B$8,OR(AJ12&lt;&gt;"",AP12&lt;&gt;"경기 준비 능력")),K12,0)</f>
        <v>0</v>
      </c>
      <c r="AN12" s="23" t="n">
        <f aca="false">IF(AND(N12&lt;'판정 기준'!$B$8,OR(AJ12&lt;&gt;"",AP12&lt;&gt;"실수 후 회복력")),N12,0)</f>
        <v>3.4</v>
      </c>
      <c r="AO12" s="23" t="n">
        <f aca="false">IF(AND(P12&lt;'판정 기준'!$B$8,OR(AJ12&lt;&gt;"",AP12&lt;&gt;"자기 통제력")),P12,0)</f>
        <v>3.8</v>
      </c>
      <c r="AP12" s="23" t="str">
        <f aca="false">IF(Q12=MAX(G12,Q12,K12,N12,P12),"사회적 도움 활용",IF(P12=MAX(G12,Q12,K12,N12,P12),"자기 통제력",IF(G12=MAX(G12,Q12,K12,N12,P12),"경기긴장도",IF(K12=MAX(G12,Q12,K12,N12,P12),"경기 준비 능력","실수 후 회복력"))))</f>
        <v>경기 준비 능력</v>
      </c>
    </row>
    <row r="13" customFormat="false" ht="17.15" hidden="false" customHeight="false" outlineLevel="0" collapsed="false">
      <c r="A13" s="13" t="s">
        <v>206</v>
      </c>
      <c r="B13" s="13" t="s">
        <v>187</v>
      </c>
      <c r="C13" s="13" t="s">
        <v>207</v>
      </c>
      <c r="D13" s="14" t="n">
        <v>46248</v>
      </c>
      <c r="E13" s="41" t="s">
        <v>189</v>
      </c>
      <c r="F13" s="42" t="n">
        <v>3.8</v>
      </c>
      <c r="G13" s="42" t="n">
        <v>4.2</v>
      </c>
      <c r="H13" s="42" t="n">
        <v>5.2</v>
      </c>
      <c r="I13" s="42" t="n">
        <v>4</v>
      </c>
      <c r="J13" s="42" t="n">
        <v>4.2</v>
      </c>
      <c r="K13" s="42" t="n">
        <v>3.9</v>
      </c>
      <c r="L13" s="42" t="n">
        <v>3.7</v>
      </c>
      <c r="M13" s="42" t="n">
        <v>4.1</v>
      </c>
      <c r="N13" s="42" t="n">
        <v>4</v>
      </c>
      <c r="O13" s="42" t="n">
        <v>4.7</v>
      </c>
      <c r="P13" s="42" t="n">
        <v>3</v>
      </c>
      <c r="Q13" s="42" t="n">
        <v>3.2</v>
      </c>
      <c r="R13" s="42" t="n">
        <v>5</v>
      </c>
      <c r="S13" s="37" t="n">
        <f aca="false">AVERAGE(G13:J13)</f>
        <v>4.4</v>
      </c>
      <c r="T13" s="37" t="n">
        <f aca="false">AVERAGE(K13:M13)</f>
        <v>3.9</v>
      </c>
      <c r="U13" s="37" t="n">
        <f aca="false">AVERAGE(N13:O13)</f>
        <v>4.35</v>
      </c>
      <c r="V13" s="23" t="str">
        <f aca="false">IF(S13&gt;='판정 기준'!$B$3,"H","L")&amp;IF(T13&gt;='판정 기준'!$B$3,"H","L")&amp;IF(U13&gt;='판정 기준'!$B$3,"H","L")</f>
        <v>LLL</v>
      </c>
      <c r="W13" s="36" t="str">
        <f aca="false">INDEX('포지션 정의'!$A$2:$A$9,MATCH(V13,'포지션 정의'!$D$2:$D$9,0))</f>
        <v>G</v>
      </c>
      <c r="X13" s="36" t="str">
        <f aca="false">INDEX('포지션 정의'!$B$2:$B$9,MATCH(V13,'포지션 정의'!$D$2:$D$9,0))</f>
        <v>스펀지 흡수형</v>
      </c>
      <c r="Y13" s="43" t="str">
        <f aca="false">IF(AJ13="","가장 높은 지표: "&amp;AP13,LEFT(AJ13,LEN(AJ13)-2))</f>
        <v>가장 높은 지표: 경기긴장도</v>
      </c>
      <c r="Z13" s="43" t="str">
        <f aca="false">IF(MAX(AK13:AO13)=0,"심화: "&amp;IF(N13=MIN(G13,Q13,K13,N13,P13),"실수 후 회복력",IF(K13=MIN(G13,Q13,K13,N13,P13),"경기 준비 능력",IF(G13=MIN(G13,Q13,K13,N13,P13),"경기긴장도",IF(P13=MIN(G13,Q13,K13,N13,P13),"자기 통제력","사회적 도움 활용")))),IF(MAX(AK13:AO13)&gt;='판정 기준'!$B$8-'판정 기준'!$B$4,IF(AN13=MAX(AK13:AO13),"실수 후 회복력",IF(AM13=MAX(AK13:AO13),"경기 준비 능력",IF(AK13=MAX(AK13:AO13),"경기긴장도",IF(AO13=MAX(AK13:AO13),"자기 통제력","사회적 도움 활용")))),IF(AN13&gt;0,"실수 후 회복력",IF(AM13&gt;0,"경기 준비 능력",IF(AK13&gt;0,"경기긴장도",IF(AO13&gt;0,"자기 통제력","사회적 도움 활용"))))))</f>
        <v>실수 후 회복력</v>
      </c>
      <c r="AA13" s="43" t="str">
        <f aca="false">INDEX('포지션 정의'!$L$2:$L$9,MATCH(V13,'포지션 정의'!$D$2:$D$9,0))</f>
        <v>디디에 드로그바 · 앙투안 그리즈만 · 모하메드 살라</v>
      </c>
      <c r="AB13" s="24" t="n">
        <f aca="false">ROUND(100*(1-SQRT(((S13-'포지션 정의'!$N$2)^2+(T13-'포지션 정의'!$O$2)^2+(U13-'포지션 정의'!$P$2)^2)/3)/'판정 기준'!$B$7),0)</f>
        <v>82</v>
      </c>
      <c r="AC13" s="24" t="n">
        <f aca="false">ROUND(100*(1-SQRT(((S13-'포지션 정의'!$N$3)^2+(T13-'포지션 정의'!$O$3)^2+(U13-'포지션 정의'!$P$3)^2)/3)/'판정 기준'!$B$7),0)</f>
        <v>81</v>
      </c>
      <c r="AD13" s="24" t="n">
        <f aca="false">ROUND(100*(1-SQRT(((S13-'포지션 정의'!$N$4)^2+(T13-'포지션 정의'!$O$4)^2+(U13-'포지션 정의'!$P$4)^2)/3)/'판정 기준'!$B$7),0)</f>
        <v>89</v>
      </c>
      <c r="AE13" s="24" t="n">
        <f aca="false">ROUND(100*(1-SQRT(((S13-'포지션 정의'!$N$5)^2+(T13-'포지션 정의'!$O$5)^2+(U13-'포지션 정의'!$P$5)^2)/3)/'판정 기준'!$B$7),0)</f>
        <v>86</v>
      </c>
      <c r="AF13" s="24" t="n">
        <f aca="false">ROUND(100*(1-SQRT(((S13-'포지션 정의'!$N$6)^2+(T13-'포지션 정의'!$O$6)^2+(U13-'포지션 정의'!$P$6)^2)/3)/'판정 기준'!$B$7),0)</f>
        <v>88</v>
      </c>
      <c r="AG13" s="24" t="n">
        <f aca="false">ROUND(100*(1-SQRT(((S13-'포지션 정의'!$N$7)^2+(T13-'포지션 정의'!$O$7)^2+(U13-'포지션 정의'!$P$7)^2)/3)/'판정 기준'!$B$7),0)</f>
        <v>81</v>
      </c>
      <c r="AH13" s="24" t="n">
        <f aca="false">ROUND(100*(1-SQRT(((S13-'포지션 정의'!$N$8)^2+(T13-'포지션 정의'!$O$8)^2+(U13-'포지션 정의'!$P$8)^2)/3)/'판정 기준'!$B$7),0)</f>
        <v>91</v>
      </c>
      <c r="AI13" s="24" t="n">
        <f aca="false">ROUND(100*(1-SQRT(((S13-'포지션 정의'!$N$9)^2+(T13-'포지션 정의'!$O$9)^2+(U13-'포지션 정의'!$P$9)^2)/3)/'판정 기준'!$B$7),0)</f>
        <v>80</v>
      </c>
      <c r="AJ13" s="23" t="str">
        <f aca="false">IF(G13&gt;='판정 기준'!$B$8,"경기긴장도, ","")&amp;IF(Q13&gt;='판정 기준'!$B$8,"사회적 도움 활용, ","")&amp;IF(K13&gt;='판정 기준'!$B$8,"경기 준비 능력, ","")&amp;IF(N13&gt;='판정 기준'!$B$8,"실수 후 회복력, ","")&amp;IF(P13&gt;='판정 기준'!$B$8,"자기 통제력, ","")</f>
        <v/>
      </c>
      <c r="AK13" s="23" t="n">
        <f aca="false">IF(AND(G13&lt;'판정 기준'!$B$8,OR(AJ13&lt;&gt;"",AP13&lt;&gt;"경기긴장도")),G13,0)</f>
        <v>0</v>
      </c>
      <c r="AL13" s="23" t="n">
        <f aca="false">IF(AND(Q13&lt;'판정 기준'!$B$8,OR(AJ13&lt;&gt;"",AP13&lt;&gt;"사회적 도움 활용")),Q13,0)</f>
        <v>3.2</v>
      </c>
      <c r="AM13" s="23" t="n">
        <f aca="false">IF(AND(K13&lt;'판정 기준'!$B$8,OR(AJ13&lt;&gt;"",AP13&lt;&gt;"경기 준비 능력")),K13,0)</f>
        <v>3.9</v>
      </c>
      <c r="AN13" s="23" t="n">
        <f aca="false">IF(AND(N13&lt;'판정 기준'!$B$8,OR(AJ13&lt;&gt;"",AP13&lt;&gt;"실수 후 회복력")),N13,0)</f>
        <v>4</v>
      </c>
      <c r="AO13" s="23" t="n">
        <f aca="false">IF(AND(P13&lt;'판정 기준'!$B$8,OR(AJ13&lt;&gt;"",AP13&lt;&gt;"자기 통제력")),P13,0)</f>
        <v>3</v>
      </c>
      <c r="AP13" s="23" t="str">
        <f aca="false">IF(Q13=MAX(G13,Q13,K13,N13,P13),"사회적 도움 활용",IF(P13=MAX(G13,Q13,K13,N13,P13),"자기 통제력",IF(G13=MAX(G13,Q13,K13,N13,P13),"경기긴장도",IF(K13=MAX(G13,Q13,K13,N13,P13),"경기 준비 능력","실수 후 회복력"))))</f>
        <v>경기긴장도</v>
      </c>
    </row>
    <row r="14" customFormat="false" ht="17.15" hidden="false" customHeight="false" outlineLevel="0" collapsed="false">
      <c r="A14" s="13" t="s">
        <v>208</v>
      </c>
      <c r="B14" s="13" t="s">
        <v>187</v>
      </c>
      <c r="C14" s="13" t="s">
        <v>209</v>
      </c>
      <c r="D14" s="14" t="n">
        <v>46242</v>
      </c>
      <c r="E14" s="41" t="s">
        <v>195</v>
      </c>
      <c r="F14" s="42" t="n">
        <v>5.2</v>
      </c>
      <c r="G14" s="42" t="n">
        <v>4.6</v>
      </c>
      <c r="H14" s="42" t="n">
        <v>4.2</v>
      </c>
      <c r="I14" s="42" t="n">
        <v>5.4</v>
      </c>
      <c r="J14" s="42" t="n">
        <v>3.8</v>
      </c>
      <c r="K14" s="42" t="n">
        <v>5.4</v>
      </c>
      <c r="L14" s="42" t="n">
        <v>4.7</v>
      </c>
      <c r="M14" s="42" t="n">
        <v>6</v>
      </c>
      <c r="N14" s="42" t="n">
        <v>5.4</v>
      </c>
      <c r="O14" s="42" t="n">
        <v>5.3</v>
      </c>
      <c r="P14" s="42" t="n">
        <v>5.5</v>
      </c>
      <c r="Q14" s="42" t="n">
        <v>5.6</v>
      </c>
      <c r="R14" s="42" t="n">
        <v>5</v>
      </c>
      <c r="S14" s="37" t="n">
        <f aca="false">AVERAGE(G14:J14)</f>
        <v>4.5</v>
      </c>
      <c r="T14" s="37" t="n">
        <f aca="false">AVERAGE(K14:M14)</f>
        <v>5.36666666666667</v>
      </c>
      <c r="U14" s="37" t="n">
        <f aca="false">AVERAGE(N14:O14)</f>
        <v>5.35</v>
      </c>
      <c r="V14" s="23" t="str">
        <f aca="false">IF(S14&gt;='판정 기준'!$B$3,"H","L")&amp;IF(T14&gt;='판정 기준'!$B$3,"H","L")&amp;IF(U14&gt;='판정 기준'!$B$3,"H","L")</f>
        <v>HHH</v>
      </c>
      <c r="W14" s="36" t="str">
        <f aca="false">INDEX('포지션 정의'!$A$2:$A$9,MATCH(V14,'포지션 정의'!$D$2:$D$9,0))</f>
        <v>H</v>
      </c>
      <c r="X14" s="36" t="str">
        <f aca="false">INDEX('포지션 정의'!$B$2:$B$9,MATCH(V14,'포지션 정의'!$D$2:$D$9,0))</f>
        <v>올라운드 밸런스형</v>
      </c>
      <c r="Y14" s="43" t="str">
        <f aca="false">IF(AJ14="","가장 높은 지표: "&amp;AP14,LEFT(AJ14,LEN(AJ14)-2))</f>
        <v>사회적 도움 활용, 경기 준비 능력, 실수 후 회복력, 자기 통제력</v>
      </c>
      <c r="Z14" s="43" t="str">
        <f aca="false">IF(MAX(AK14:AO14)=0,"심화: "&amp;IF(N14=MIN(G14,Q14,K14,N14,P14),"실수 후 회복력",IF(K14=MIN(G14,Q14,K14,N14,P14),"경기 준비 능력",IF(G14=MIN(G14,Q14,K14,N14,P14),"경기긴장도",IF(P14=MIN(G14,Q14,K14,N14,P14),"자기 통제력","사회적 도움 활용")))),IF(MAX(AK14:AO14)&gt;='판정 기준'!$B$8-'판정 기준'!$B$4,IF(AN14=MAX(AK14:AO14),"실수 후 회복력",IF(AM14=MAX(AK14:AO14),"경기 준비 능력",IF(AK14=MAX(AK14:AO14),"경기긴장도",IF(AO14=MAX(AK14:AO14),"자기 통제력","사회적 도움 활용")))),IF(AN14&gt;0,"실수 후 회복력",IF(AM14&gt;0,"경기 준비 능력",IF(AK14&gt;0,"경기긴장도",IF(AO14&gt;0,"자기 통제력","사회적 도움 활용"))))))</f>
        <v>경기긴장도</v>
      </c>
      <c r="AA14" s="43" t="str">
        <f aca="false">INDEX('포지션 정의'!$L$2:$L$9,MATCH(V14,'포지션 정의'!$D$2:$D$9,0))</f>
        <v>크리스티아누 호날두 · 루카 모드리치 · 버질 반 다이크</v>
      </c>
      <c r="AB14" s="24" t="n">
        <f aca="false">ROUND(100*(1-SQRT(((S14-'포지션 정의'!$N$2)^2+(T14-'포지션 정의'!$O$2)^2+(U14-'포지션 정의'!$P$2)^2)/3)/'판정 기준'!$B$7),0)</f>
        <v>80</v>
      </c>
      <c r="AC14" s="24" t="n">
        <f aca="false">ROUND(100*(1-SQRT(((S14-'포지션 정의'!$N$3)^2+(T14-'포지션 정의'!$O$3)^2+(U14-'포지션 정의'!$P$3)^2)/3)/'판정 기준'!$B$7),0)</f>
        <v>80</v>
      </c>
      <c r="AD14" s="24" t="n">
        <f aca="false">ROUND(100*(1-SQRT(((S14-'포지션 정의'!$N$4)^2+(T14-'포지션 정의'!$O$4)^2+(U14-'포지션 정의'!$P$4)^2)/3)/'판정 기준'!$B$7),0)</f>
        <v>73</v>
      </c>
      <c r="AE14" s="24" t="n">
        <f aca="false">ROUND(100*(1-SQRT(((S14-'포지션 정의'!$N$5)^2+(T14-'포지션 정의'!$O$5)^2+(U14-'포지션 정의'!$P$5)^2)/3)/'판정 기준'!$B$7),0)</f>
        <v>80</v>
      </c>
      <c r="AF14" s="24" t="n">
        <f aca="false">ROUND(100*(1-SQRT(((S14-'포지션 정의'!$N$6)^2+(T14-'포지션 정의'!$O$6)^2+(U14-'포지션 정의'!$P$6)^2)/3)/'판정 기준'!$B$7),0)</f>
        <v>80</v>
      </c>
      <c r="AG14" s="24" t="n">
        <f aca="false">ROUND(100*(1-SQRT(((S14-'포지션 정의'!$N$7)^2+(T14-'포지션 정의'!$O$7)^2+(U14-'포지션 정의'!$P$7)^2)/3)/'판정 기준'!$B$7),0)</f>
        <v>92</v>
      </c>
      <c r="AH14" s="24" t="n">
        <f aca="false">ROUND(100*(1-SQRT(((S14-'포지션 정의'!$N$8)^2+(T14-'포지션 정의'!$O$8)^2+(U14-'포지션 정의'!$P$8)^2)/3)/'판정 기준'!$B$7),0)</f>
        <v>73</v>
      </c>
      <c r="AI14" s="24" t="n">
        <f aca="false">ROUND(100*(1-SQRT(((S14-'포지션 정의'!$N$9)^2+(T14-'포지션 정의'!$O$9)^2+(U14-'포지션 정의'!$P$9)^2)/3)/'판정 기준'!$B$7),0)</f>
        <v>92</v>
      </c>
      <c r="AJ14" s="23" t="str">
        <f aca="false">IF(G14&gt;='판정 기준'!$B$8,"경기긴장도, ","")&amp;IF(Q14&gt;='판정 기준'!$B$8,"사회적 도움 활용, ","")&amp;IF(K14&gt;='판정 기준'!$B$8,"경기 준비 능력, ","")&amp;IF(N14&gt;='판정 기준'!$B$8,"실수 후 회복력, ","")&amp;IF(P14&gt;='판정 기준'!$B$8,"자기 통제력, ","")</f>
        <v>사회적 도움 활용, 경기 준비 능력, 실수 후 회복력, 자기 통제력, </v>
      </c>
      <c r="AK14" s="23" t="n">
        <f aca="false">IF(AND(G14&lt;'판정 기준'!$B$8,OR(AJ14&lt;&gt;"",AP14&lt;&gt;"경기긴장도")),G14,0)</f>
        <v>4.6</v>
      </c>
      <c r="AL14" s="23" t="n">
        <f aca="false">IF(AND(Q14&lt;'판정 기준'!$B$8,OR(AJ14&lt;&gt;"",AP14&lt;&gt;"사회적 도움 활용")),Q14,0)</f>
        <v>0</v>
      </c>
      <c r="AM14" s="23" t="n">
        <f aca="false">IF(AND(K14&lt;'판정 기준'!$B$8,OR(AJ14&lt;&gt;"",AP14&lt;&gt;"경기 준비 능력")),K14,0)</f>
        <v>0</v>
      </c>
      <c r="AN14" s="23" t="n">
        <f aca="false">IF(AND(N14&lt;'판정 기준'!$B$8,OR(AJ14&lt;&gt;"",AP14&lt;&gt;"실수 후 회복력")),N14,0)</f>
        <v>0</v>
      </c>
      <c r="AO14" s="23" t="n">
        <f aca="false">IF(AND(P14&lt;'판정 기준'!$B$8,OR(AJ14&lt;&gt;"",AP14&lt;&gt;"자기 통제력")),P14,0)</f>
        <v>0</v>
      </c>
      <c r="AP14" s="23" t="str">
        <f aca="false">IF(Q14=MAX(G14,Q14,K14,N14,P14),"사회적 도움 활용",IF(P14=MAX(G14,Q14,K14,N14,P14),"자기 통제력",IF(G14=MAX(G14,Q14,K14,N14,P14),"경기긴장도",IF(K14=MAX(G14,Q14,K14,N14,P14),"경기 준비 능력","실수 후 회복력"))))</f>
        <v>사회적 도움 활용</v>
      </c>
    </row>
    <row r="15" customFormat="false" ht="17.15" hidden="false" customHeight="false" outlineLevel="0" collapsed="false">
      <c r="A15" s="13" t="s">
        <v>210</v>
      </c>
      <c r="B15" s="13" t="s">
        <v>187</v>
      </c>
      <c r="C15" s="13" t="s">
        <v>211</v>
      </c>
      <c r="D15" s="14" t="n">
        <v>46230</v>
      </c>
      <c r="E15" s="41" t="s">
        <v>195</v>
      </c>
      <c r="F15" s="42" t="n">
        <v>3.7</v>
      </c>
      <c r="G15" s="42" t="n">
        <v>3.4</v>
      </c>
      <c r="H15" s="42" t="n">
        <v>3.3</v>
      </c>
      <c r="I15" s="42" t="n">
        <v>4</v>
      </c>
      <c r="J15" s="42" t="n">
        <v>3</v>
      </c>
      <c r="K15" s="42" t="n">
        <v>3.7</v>
      </c>
      <c r="L15" s="42" t="n">
        <v>3.7</v>
      </c>
      <c r="M15" s="42" t="n">
        <v>3.7</v>
      </c>
      <c r="N15" s="42" t="n">
        <v>4.3</v>
      </c>
      <c r="O15" s="42" t="n">
        <v>4.2</v>
      </c>
      <c r="P15" s="42" t="n">
        <v>3.2</v>
      </c>
      <c r="Q15" s="42" t="n">
        <v>5.4</v>
      </c>
      <c r="R15" s="42" t="n">
        <v>5.7</v>
      </c>
      <c r="S15" s="37" t="n">
        <f aca="false">AVERAGE(G15:J15)</f>
        <v>3.425</v>
      </c>
      <c r="T15" s="37" t="n">
        <f aca="false">AVERAGE(K15:M15)</f>
        <v>3.7</v>
      </c>
      <c r="U15" s="37" t="n">
        <f aca="false">AVERAGE(N15:O15)</f>
        <v>4.25</v>
      </c>
      <c r="V15" s="23" t="str">
        <f aca="false">IF(S15&gt;='판정 기준'!$B$3,"H","L")&amp;IF(T15&gt;='판정 기준'!$B$3,"H","L")&amp;IF(U15&gt;='판정 기준'!$B$3,"H","L")</f>
        <v>LLL</v>
      </c>
      <c r="W15" s="36" t="str">
        <f aca="false">INDEX('포지션 정의'!$A$2:$A$9,MATCH(V15,'포지션 정의'!$D$2:$D$9,0))</f>
        <v>G</v>
      </c>
      <c r="X15" s="36" t="str">
        <f aca="false">INDEX('포지션 정의'!$B$2:$B$9,MATCH(V15,'포지션 정의'!$D$2:$D$9,0))</f>
        <v>스펀지 흡수형</v>
      </c>
      <c r="Y15" s="43" t="str">
        <f aca="false">IF(AJ15="","가장 높은 지표: "&amp;AP15,LEFT(AJ15,LEN(AJ15)-2))</f>
        <v>사회적 도움 활용</v>
      </c>
      <c r="Z15" s="43" t="str">
        <f aca="false">IF(MAX(AK15:AO15)=0,"심화: "&amp;IF(N15=MIN(G15,Q15,K15,N15,P15),"실수 후 회복력",IF(K15=MIN(G15,Q15,K15,N15,P15),"경기 준비 능력",IF(G15=MIN(G15,Q15,K15,N15,P15),"경기긴장도",IF(P15=MIN(G15,Q15,K15,N15,P15),"자기 통제력","사회적 도움 활용")))),IF(MAX(AK15:AO15)&gt;='판정 기준'!$B$8-'판정 기준'!$B$4,IF(AN15=MAX(AK15:AO15),"실수 후 회복력",IF(AM15=MAX(AK15:AO15),"경기 준비 능력",IF(AK15=MAX(AK15:AO15),"경기긴장도",IF(AO15=MAX(AK15:AO15),"자기 통제력","사회적 도움 활용")))),IF(AN15&gt;0,"실수 후 회복력",IF(AM15&gt;0,"경기 준비 능력",IF(AK15&gt;0,"경기긴장도",IF(AO15&gt;0,"자기 통제력","사회적 도움 활용"))))))</f>
        <v>실수 후 회복력</v>
      </c>
      <c r="AA15" s="43" t="str">
        <f aca="false">INDEX('포지션 정의'!$L$2:$L$9,MATCH(V15,'포지션 정의'!$D$2:$D$9,0))</f>
        <v>디디에 드로그바 · 앙투안 그리즈만 · 모하메드 살라</v>
      </c>
      <c r="AB15" s="24" t="n">
        <f aca="false">ROUND(100*(1-SQRT(((S15-'포지션 정의'!$N$2)^2+(T15-'포지션 정의'!$O$2)^2+(U15-'포지션 정의'!$P$2)^2)/3)/'판정 기준'!$B$7),0)</f>
        <v>81</v>
      </c>
      <c r="AC15" s="24" t="n">
        <f aca="false">ROUND(100*(1-SQRT(((S15-'포지션 정의'!$N$3)^2+(T15-'포지션 정의'!$O$3)^2+(U15-'포지션 정의'!$P$3)^2)/3)/'판정 기준'!$B$7),0)</f>
        <v>73</v>
      </c>
      <c r="AD15" s="24" t="n">
        <f aca="false">ROUND(100*(1-SQRT(((S15-'포지션 정의'!$N$4)^2+(T15-'포지션 정의'!$O$4)^2+(U15-'포지션 정의'!$P$4)^2)/3)/'판정 기준'!$B$7),0)</f>
        <v>79</v>
      </c>
      <c r="AE15" s="24" t="n">
        <f aca="false">ROUND(100*(1-SQRT(((S15-'포지션 정의'!$N$5)^2+(T15-'포지션 정의'!$O$5)^2+(U15-'포지션 정의'!$P$5)^2)/3)/'판정 기준'!$B$7),0)</f>
        <v>77</v>
      </c>
      <c r="AF15" s="24" t="n">
        <f aca="false">ROUND(100*(1-SQRT(((S15-'포지션 정의'!$N$6)^2+(T15-'포지션 정의'!$O$6)^2+(U15-'포지션 정의'!$P$6)^2)/3)/'판정 기준'!$B$7),0)</f>
        <v>88</v>
      </c>
      <c r="AG15" s="24" t="n">
        <f aca="false">ROUND(100*(1-SQRT(((S15-'포지션 정의'!$N$7)^2+(T15-'포지션 정의'!$O$7)^2+(U15-'포지션 정의'!$P$7)^2)/3)/'판정 기준'!$B$7),0)</f>
        <v>79</v>
      </c>
      <c r="AH15" s="24" t="n">
        <f aca="false">ROUND(100*(1-SQRT(((S15-'포지션 정의'!$N$8)^2+(T15-'포지션 정의'!$O$8)^2+(U15-'포지션 정의'!$P$8)^2)/3)/'판정 기준'!$B$7),0)</f>
        <v>93</v>
      </c>
      <c r="AI15" s="24" t="n">
        <f aca="false">ROUND(100*(1-SQRT(((S15-'포지션 정의'!$N$9)^2+(T15-'포지션 정의'!$O$9)^2+(U15-'포지션 정의'!$P$9)^2)/3)/'판정 기준'!$B$7),0)</f>
        <v>71</v>
      </c>
      <c r="AJ15" s="23" t="str">
        <f aca="false">IF(G15&gt;='판정 기준'!$B$8,"경기긴장도, ","")&amp;IF(Q15&gt;='판정 기준'!$B$8,"사회적 도움 활용, ","")&amp;IF(K15&gt;='판정 기준'!$B$8,"경기 준비 능력, ","")&amp;IF(N15&gt;='판정 기준'!$B$8,"실수 후 회복력, ","")&amp;IF(P15&gt;='판정 기준'!$B$8,"자기 통제력, ","")</f>
        <v>사회적 도움 활용, </v>
      </c>
      <c r="AK15" s="23" t="n">
        <f aca="false">IF(AND(G15&lt;'판정 기준'!$B$8,OR(AJ15&lt;&gt;"",AP15&lt;&gt;"경기긴장도")),G15,0)</f>
        <v>3.4</v>
      </c>
      <c r="AL15" s="23" t="n">
        <f aca="false">IF(AND(Q15&lt;'판정 기준'!$B$8,OR(AJ15&lt;&gt;"",AP15&lt;&gt;"사회적 도움 활용")),Q15,0)</f>
        <v>0</v>
      </c>
      <c r="AM15" s="23" t="n">
        <f aca="false">IF(AND(K15&lt;'판정 기준'!$B$8,OR(AJ15&lt;&gt;"",AP15&lt;&gt;"경기 준비 능력")),K15,0)</f>
        <v>3.7</v>
      </c>
      <c r="AN15" s="23" t="n">
        <f aca="false">IF(AND(N15&lt;'판정 기준'!$B$8,OR(AJ15&lt;&gt;"",AP15&lt;&gt;"실수 후 회복력")),N15,0)</f>
        <v>4.3</v>
      </c>
      <c r="AO15" s="23" t="n">
        <f aca="false">IF(AND(P15&lt;'판정 기준'!$B$8,OR(AJ15&lt;&gt;"",AP15&lt;&gt;"자기 통제력")),P15,0)</f>
        <v>3.2</v>
      </c>
      <c r="AP15" s="23" t="str">
        <f aca="false">IF(Q15=MAX(G15,Q15,K15,N15,P15),"사회적 도움 활용",IF(P15=MAX(G15,Q15,K15,N15,P15),"자기 통제력",IF(G15=MAX(G15,Q15,K15,N15,P15),"경기긴장도",IF(K15=MAX(G15,Q15,K15,N15,P15),"경기 준비 능력","실수 후 회복력"))))</f>
        <v>사회적 도움 활용</v>
      </c>
    </row>
    <row r="16" customFormat="false" ht="17.15" hidden="false" customHeight="false" outlineLevel="0" collapsed="false">
      <c r="A16" s="13" t="s">
        <v>212</v>
      </c>
      <c r="B16" s="13" t="s">
        <v>187</v>
      </c>
      <c r="C16" s="13" t="s">
        <v>213</v>
      </c>
      <c r="D16" s="14" t="n">
        <v>46230</v>
      </c>
      <c r="E16" s="41" t="s">
        <v>195</v>
      </c>
      <c r="F16" s="42" t="n">
        <v>5.1</v>
      </c>
      <c r="G16" s="42" t="n">
        <v>5.2</v>
      </c>
      <c r="H16" s="42" t="n">
        <v>5.5</v>
      </c>
      <c r="I16" s="42" t="n">
        <v>5.2</v>
      </c>
      <c r="J16" s="42" t="n">
        <v>5</v>
      </c>
      <c r="K16" s="42" t="n">
        <v>4.4</v>
      </c>
      <c r="L16" s="42" t="n">
        <v>4.2</v>
      </c>
      <c r="M16" s="42" t="n">
        <v>4.6</v>
      </c>
      <c r="N16" s="42" t="n">
        <v>5.4</v>
      </c>
      <c r="O16" s="42" t="n">
        <v>5.3</v>
      </c>
      <c r="P16" s="42" t="n">
        <v>5.2</v>
      </c>
      <c r="Q16" s="42" t="n">
        <v>5.8</v>
      </c>
      <c r="R16" s="42" t="n">
        <v>6</v>
      </c>
      <c r="S16" s="37" t="n">
        <f aca="false">AVERAGE(G16:J16)</f>
        <v>5.225</v>
      </c>
      <c r="T16" s="37" t="n">
        <f aca="false">AVERAGE(K16:M16)</f>
        <v>4.4</v>
      </c>
      <c r="U16" s="37" t="n">
        <f aca="false">AVERAGE(N16:O16)</f>
        <v>5.35</v>
      </c>
      <c r="V16" s="23" t="str">
        <f aca="false">IF(S16&gt;='판정 기준'!$B$3,"H","L")&amp;IF(T16&gt;='판정 기준'!$B$3,"H","L")&amp;IF(U16&gt;='판정 기준'!$B$3,"H","L")</f>
        <v>HLH</v>
      </c>
      <c r="W16" s="36" t="str">
        <f aca="false">INDEX('포지션 정의'!$A$2:$A$9,MATCH(V16,'포지션 정의'!$D$2:$D$9,0))</f>
        <v>D</v>
      </c>
      <c r="X16" s="36" t="str">
        <f aca="false">INDEX('포지션 정의'!$B$2:$B$9,MATCH(V16,'포지션 정의'!$D$2:$D$9,0))</f>
        <v>실전 승부사형</v>
      </c>
      <c r="Y16" s="43" t="str">
        <f aca="false">IF(AJ16="","가장 높은 지표: "&amp;AP16,LEFT(AJ16,LEN(AJ16)-2))</f>
        <v>경기긴장도, 사회적 도움 활용, 실수 후 회복력, 자기 통제력</v>
      </c>
      <c r="Z16" s="43" t="str">
        <f aca="false">IF(MAX(AK16:AO16)=0,"심화: "&amp;IF(N16=MIN(G16,Q16,K16,N16,P16),"실수 후 회복력",IF(K16=MIN(G16,Q16,K16,N16,P16),"경기 준비 능력",IF(G16=MIN(G16,Q16,K16,N16,P16),"경기긴장도",IF(P16=MIN(G16,Q16,K16,N16,P16),"자기 통제력","사회적 도움 활용")))),IF(MAX(AK16:AO16)&gt;='판정 기준'!$B$8-'판정 기준'!$B$4,IF(AN16=MAX(AK16:AO16),"실수 후 회복력",IF(AM16=MAX(AK16:AO16),"경기 준비 능력",IF(AK16=MAX(AK16:AO16),"경기긴장도",IF(AO16=MAX(AK16:AO16),"자기 통제력","사회적 도움 활용")))),IF(AN16&gt;0,"실수 후 회복력",IF(AM16&gt;0,"경기 준비 능력",IF(AK16&gt;0,"경기긴장도",IF(AO16&gt;0,"자기 통제력","사회적 도움 활용"))))))</f>
        <v>경기 준비 능력</v>
      </c>
      <c r="AA16" s="43" t="str">
        <f aca="false">INDEX('포지션 정의'!$L$2:$L$9,MATCH(V16,'포지션 정의'!$D$2:$D$9,0))</f>
        <v>즐라탄 이브라히모비치 · 호나우지뉴 · 디에고 마라도나</v>
      </c>
      <c r="AB16" s="24" t="n">
        <f aca="false">ROUND(100*(1-SQRT(((S16-'포지션 정의'!$N$2)^2+(T16-'포지션 정의'!$O$2)^2+(U16-'포지션 정의'!$P$2)^2)/3)/'판정 기준'!$B$7),0)</f>
        <v>74</v>
      </c>
      <c r="AC16" s="24" t="n">
        <f aca="false">ROUND(100*(1-SQRT(((S16-'포지션 정의'!$N$3)^2+(T16-'포지션 정의'!$O$3)^2+(U16-'포지션 정의'!$P$3)^2)/3)/'판정 기준'!$B$7),0)</f>
        <v>80</v>
      </c>
      <c r="AD16" s="24" t="n">
        <f aca="false">ROUND(100*(1-SQRT(((S16-'포지션 정의'!$N$4)^2+(T16-'포지션 정의'!$O$4)^2+(U16-'포지션 정의'!$P$4)^2)/3)/'판정 기준'!$B$7),0)</f>
        <v>81</v>
      </c>
      <c r="AE16" s="24" t="n">
        <f aca="false">ROUND(100*(1-SQRT(((S16-'포지션 정의'!$N$5)^2+(T16-'포지션 정의'!$O$5)^2+(U16-'포지션 정의'!$P$5)^2)/3)/'판정 기준'!$B$7),0)</f>
        <v>93</v>
      </c>
      <c r="AF16" s="24" t="n">
        <f aca="false">ROUND(100*(1-SQRT(((S16-'포지션 정의'!$N$6)^2+(T16-'포지션 정의'!$O$6)^2+(U16-'포지션 정의'!$P$6)^2)/3)/'판정 기준'!$B$7),0)</f>
        <v>82</v>
      </c>
      <c r="AG16" s="24" t="n">
        <f aca="false">ROUND(100*(1-SQRT(((S16-'포지션 정의'!$N$7)^2+(T16-'포지션 정의'!$O$7)^2+(U16-'포지션 정의'!$P$7)^2)/3)/'판정 기준'!$B$7),0)</f>
        <v>81</v>
      </c>
      <c r="AH16" s="24" t="n">
        <f aca="false">ROUND(100*(1-SQRT(((S16-'포지션 정의'!$N$8)^2+(T16-'포지션 정의'!$O$8)^2+(U16-'포지션 정의'!$P$8)^2)/3)/'판정 기준'!$B$7),0)</f>
        <v>75</v>
      </c>
      <c r="AI16" s="24" t="n">
        <f aca="false">ROUND(100*(1-SQRT(((S16-'포지션 정의'!$N$9)^2+(T16-'포지션 정의'!$O$9)^2+(U16-'포지션 정의'!$P$9)^2)/3)/'판정 기준'!$B$7),0)</f>
        <v>91</v>
      </c>
      <c r="AJ16" s="23" t="str">
        <f aca="false">IF(G16&gt;='판정 기준'!$B$8,"경기긴장도, ","")&amp;IF(Q16&gt;='판정 기준'!$B$8,"사회적 도움 활용, ","")&amp;IF(K16&gt;='판정 기준'!$B$8,"경기 준비 능력, ","")&amp;IF(N16&gt;='판정 기준'!$B$8,"실수 후 회복력, ","")&amp;IF(P16&gt;='판정 기준'!$B$8,"자기 통제력, ","")</f>
        <v>경기긴장도, 사회적 도움 활용, 실수 후 회복력, 자기 통제력, </v>
      </c>
      <c r="AK16" s="23" t="n">
        <f aca="false">IF(AND(G16&lt;'판정 기준'!$B$8,OR(AJ16&lt;&gt;"",AP16&lt;&gt;"경기긴장도")),G16,0)</f>
        <v>0</v>
      </c>
      <c r="AL16" s="23" t="n">
        <f aca="false">IF(AND(Q16&lt;'판정 기준'!$B$8,OR(AJ16&lt;&gt;"",AP16&lt;&gt;"사회적 도움 활용")),Q16,0)</f>
        <v>0</v>
      </c>
      <c r="AM16" s="23" t="n">
        <f aca="false">IF(AND(K16&lt;'판정 기준'!$B$8,OR(AJ16&lt;&gt;"",AP16&lt;&gt;"경기 준비 능력")),K16,0)</f>
        <v>4.4</v>
      </c>
      <c r="AN16" s="23" t="n">
        <f aca="false">IF(AND(N16&lt;'판정 기준'!$B$8,OR(AJ16&lt;&gt;"",AP16&lt;&gt;"실수 후 회복력")),N16,0)</f>
        <v>0</v>
      </c>
      <c r="AO16" s="23" t="n">
        <f aca="false">IF(AND(P16&lt;'판정 기준'!$B$8,OR(AJ16&lt;&gt;"",AP16&lt;&gt;"자기 통제력")),P16,0)</f>
        <v>0</v>
      </c>
      <c r="AP16" s="23" t="str">
        <f aca="false">IF(Q16=MAX(G16,Q16,K16,N16,P16),"사회적 도움 활용",IF(P16=MAX(G16,Q16,K16,N16,P16),"자기 통제력",IF(G16=MAX(G16,Q16,K16,N16,P16),"경기긴장도",IF(K16=MAX(G16,Q16,K16,N16,P16),"경기 준비 능력","실수 후 회복력"))))</f>
        <v>사회적 도움 활용</v>
      </c>
    </row>
    <row r="17" customFormat="false" ht="17.15" hidden="false" customHeight="false" outlineLevel="0" collapsed="false">
      <c r="A17" s="13" t="s">
        <v>214</v>
      </c>
      <c r="B17" s="13" t="s">
        <v>187</v>
      </c>
      <c r="C17" s="13" t="s">
        <v>213</v>
      </c>
      <c r="D17" s="14" t="n">
        <v>46230</v>
      </c>
      <c r="E17" s="41" t="s">
        <v>193</v>
      </c>
      <c r="F17" s="42" t="n">
        <v>5</v>
      </c>
      <c r="G17" s="42" t="n">
        <v>4.6</v>
      </c>
      <c r="H17" s="42" t="n">
        <v>5</v>
      </c>
      <c r="I17" s="42" t="n">
        <v>4</v>
      </c>
      <c r="J17" s="42" t="n">
        <v>5</v>
      </c>
      <c r="K17" s="42" t="n">
        <v>4.8</v>
      </c>
      <c r="L17" s="42" t="n">
        <v>4.7</v>
      </c>
      <c r="M17" s="42" t="n">
        <v>5</v>
      </c>
      <c r="N17" s="42" t="n">
        <v>5</v>
      </c>
      <c r="O17" s="42" t="n">
        <v>5.7</v>
      </c>
      <c r="P17" s="42" t="n">
        <v>5.7</v>
      </c>
      <c r="Q17" s="42" t="n">
        <v>5.6</v>
      </c>
      <c r="R17" s="42" t="n">
        <v>6</v>
      </c>
      <c r="S17" s="37" t="n">
        <f aca="false">AVERAGE(G17:J17)</f>
        <v>4.65</v>
      </c>
      <c r="T17" s="37" t="n">
        <f aca="false">AVERAGE(K17:M17)</f>
        <v>4.83333333333333</v>
      </c>
      <c r="U17" s="37" t="n">
        <f aca="false">AVERAGE(N17:O17)</f>
        <v>5.35</v>
      </c>
      <c r="V17" s="23" t="str">
        <f aca="false">IF(S17&gt;='판정 기준'!$B$3,"H","L")&amp;IF(T17&gt;='판정 기준'!$B$3,"H","L")&amp;IF(U17&gt;='판정 기준'!$B$3,"H","L")</f>
        <v>HHH</v>
      </c>
      <c r="W17" s="36" t="str">
        <f aca="false">INDEX('포지션 정의'!$A$2:$A$9,MATCH(V17,'포지션 정의'!$D$2:$D$9,0))</f>
        <v>H</v>
      </c>
      <c r="X17" s="36" t="str">
        <f aca="false">INDEX('포지션 정의'!$B$2:$B$9,MATCH(V17,'포지션 정의'!$D$2:$D$9,0))</f>
        <v>올라운드 밸런스형</v>
      </c>
      <c r="Y17" s="43" t="str">
        <f aca="false">IF(AJ17="","가장 높은 지표: "&amp;AP17,LEFT(AJ17,LEN(AJ17)-2))</f>
        <v>사회적 도움 활용, 경기 준비 능력, 실수 후 회복력, 자기 통제력</v>
      </c>
      <c r="Z17" s="43" t="str">
        <f aca="false">IF(MAX(AK17:AO17)=0,"심화: "&amp;IF(N17=MIN(G17,Q17,K17,N17,P17),"실수 후 회복력",IF(K17=MIN(G17,Q17,K17,N17,P17),"경기 준비 능력",IF(G17=MIN(G17,Q17,K17,N17,P17),"경기긴장도",IF(P17=MIN(G17,Q17,K17,N17,P17),"자기 통제력","사회적 도움 활용")))),IF(MAX(AK17:AO17)&gt;='판정 기준'!$B$8-'판정 기준'!$B$4,IF(AN17=MAX(AK17:AO17),"실수 후 회복력",IF(AM17=MAX(AK17:AO17),"경기 준비 능력",IF(AK17=MAX(AK17:AO17),"경기긴장도",IF(AO17=MAX(AK17:AO17),"자기 통제력","사회적 도움 활용")))),IF(AN17&gt;0,"실수 후 회복력",IF(AM17&gt;0,"경기 준비 능력",IF(AK17&gt;0,"경기긴장도",IF(AO17&gt;0,"자기 통제력","사회적 도움 활용"))))))</f>
        <v>경기긴장도</v>
      </c>
      <c r="AA17" s="43" t="str">
        <f aca="false">INDEX('포지션 정의'!$L$2:$L$9,MATCH(V17,'포지션 정의'!$D$2:$D$9,0))</f>
        <v>크리스티아누 호날두 · 루카 모드리치 · 버질 반 다이크</v>
      </c>
      <c r="AB17" s="24" t="n">
        <f aca="false">ROUND(100*(1-SQRT(((S17-'포지션 정의'!$N$2)^2+(T17-'포지션 정의'!$O$2)^2+(U17-'포지션 정의'!$P$2)^2)/3)/'판정 기준'!$B$7),0)</f>
        <v>79</v>
      </c>
      <c r="AC17" s="24" t="n">
        <f aca="false">ROUND(100*(1-SQRT(((S17-'포지션 정의'!$N$3)^2+(T17-'포지션 정의'!$O$3)^2+(U17-'포지션 정의'!$P$3)^2)/3)/'판정 기준'!$B$7),0)</f>
        <v>81</v>
      </c>
      <c r="AD17" s="24" t="n">
        <f aca="false">ROUND(100*(1-SQRT(((S17-'포지션 정의'!$N$4)^2+(T17-'포지션 정의'!$O$4)^2+(U17-'포지션 정의'!$P$4)^2)/3)/'판정 기준'!$B$7),0)</f>
        <v>78</v>
      </c>
      <c r="AE17" s="24" t="n">
        <f aca="false">ROUND(100*(1-SQRT(((S17-'포지션 정의'!$N$5)^2+(T17-'포지션 정의'!$O$5)^2+(U17-'포지션 정의'!$P$5)^2)/3)/'판정 기준'!$B$7),0)</f>
        <v>86</v>
      </c>
      <c r="AF17" s="24" t="n">
        <f aca="false">ROUND(100*(1-SQRT(((S17-'포지션 정의'!$N$6)^2+(T17-'포지션 정의'!$O$6)^2+(U17-'포지션 정의'!$P$6)^2)/3)/'판정 기준'!$B$7),0)</f>
        <v>84</v>
      </c>
      <c r="AG17" s="24" t="n">
        <f aca="false">ROUND(100*(1-SQRT(((S17-'포지션 정의'!$N$7)^2+(T17-'포지션 정의'!$O$7)^2+(U17-'포지션 정의'!$P$7)^2)/3)/'판정 기준'!$B$7),0)</f>
        <v>89</v>
      </c>
      <c r="AH17" s="24" t="n">
        <f aca="false">ROUND(100*(1-SQRT(((S17-'포지션 정의'!$N$8)^2+(T17-'포지션 정의'!$O$8)^2+(U17-'포지션 정의'!$P$8)^2)/3)/'판정 기준'!$B$7),0)</f>
        <v>76</v>
      </c>
      <c r="AI17" s="24" t="n">
        <f aca="false">ROUND(100*(1-SQRT(((S17-'포지션 정의'!$N$9)^2+(T17-'포지션 정의'!$O$9)^2+(U17-'포지션 정의'!$P$9)^2)/3)/'판정 기준'!$B$7),0)</f>
        <v>92</v>
      </c>
      <c r="AJ17" s="23" t="str">
        <f aca="false">IF(G17&gt;='판정 기준'!$B$8,"경기긴장도, ","")&amp;IF(Q17&gt;='판정 기준'!$B$8,"사회적 도움 활용, ","")&amp;IF(K17&gt;='판정 기준'!$B$8,"경기 준비 능력, ","")&amp;IF(N17&gt;='판정 기준'!$B$8,"실수 후 회복력, ","")&amp;IF(P17&gt;='판정 기준'!$B$8,"자기 통제력, ","")</f>
        <v>사회적 도움 활용, 경기 준비 능력, 실수 후 회복력, 자기 통제력, </v>
      </c>
      <c r="AK17" s="23" t="n">
        <f aca="false">IF(AND(G17&lt;'판정 기준'!$B$8,OR(AJ17&lt;&gt;"",AP17&lt;&gt;"경기긴장도")),G17,0)</f>
        <v>4.6</v>
      </c>
      <c r="AL17" s="23" t="n">
        <f aca="false">IF(AND(Q17&lt;'판정 기준'!$B$8,OR(AJ17&lt;&gt;"",AP17&lt;&gt;"사회적 도움 활용")),Q17,0)</f>
        <v>0</v>
      </c>
      <c r="AM17" s="23" t="n">
        <f aca="false">IF(AND(K17&lt;'판정 기준'!$B$8,OR(AJ17&lt;&gt;"",AP17&lt;&gt;"경기 준비 능력")),K17,0)</f>
        <v>0</v>
      </c>
      <c r="AN17" s="23" t="n">
        <f aca="false">IF(AND(N17&lt;'판정 기준'!$B$8,OR(AJ17&lt;&gt;"",AP17&lt;&gt;"실수 후 회복력")),N17,0)</f>
        <v>0</v>
      </c>
      <c r="AO17" s="23" t="n">
        <f aca="false">IF(AND(P17&lt;'판정 기준'!$B$8,OR(AJ17&lt;&gt;"",AP17&lt;&gt;"자기 통제력")),P17,0)</f>
        <v>0</v>
      </c>
      <c r="AP17" s="23" t="str">
        <f aca="false">IF(Q17=MAX(G17,Q17,K17,N17,P17),"사회적 도움 활용",IF(P17=MAX(G17,Q17,K17,N17,P17),"자기 통제력",IF(G17=MAX(G17,Q17,K17,N17,P17),"경기긴장도",IF(K17=MAX(G17,Q17,K17,N17,P17),"경기 준비 능력","실수 후 회복력"))))</f>
        <v>자기 통제력</v>
      </c>
    </row>
    <row r="18" customFormat="false" ht="17.15" hidden="false" customHeight="false" outlineLevel="0" collapsed="false">
      <c r="A18" s="13" t="s">
        <v>215</v>
      </c>
      <c r="B18" s="13" t="s">
        <v>187</v>
      </c>
      <c r="C18" s="13" t="s">
        <v>216</v>
      </c>
      <c r="D18" s="14" t="n">
        <v>46228</v>
      </c>
      <c r="E18" s="41" t="s">
        <v>195</v>
      </c>
      <c r="F18" s="42" t="n">
        <v>4.3</v>
      </c>
      <c r="G18" s="42" t="n">
        <v>3.4</v>
      </c>
      <c r="H18" s="42" t="n">
        <v>2.8</v>
      </c>
      <c r="I18" s="42" t="n">
        <v>4.4</v>
      </c>
      <c r="J18" s="42" t="n">
        <v>2.8</v>
      </c>
      <c r="K18" s="42" t="n">
        <v>5.6</v>
      </c>
      <c r="L18" s="42" t="n">
        <v>5.3</v>
      </c>
      <c r="M18" s="42" t="n">
        <v>5.9</v>
      </c>
      <c r="N18" s="42" t="n">
        <v>5.3</v>
      </c>
      <c r="O18" s="42" t="n">
        <v>5.5</v>
      </c>
      <c r="P18" s="42" t="n">
        <v>2.5</v>
      </c>
      <c r="Q18" s="42" t="n">
        <v>5.8</v>
      </c>
      <c r="R18" s="42" t="n">
        <v>5.3</v>
      </c>
      <c r="S18" s="37" t="n">
        <f aca="false">AVERAGE(G18:J18)</f>
        <v>3.35</v>
      </c>
      <c r="T18" s="37" t="n">
        <f aca="false">AVERAGE(K18:M18)</f>
        <v>5.6</v>
      </c>
      <c r="U18" s="37" t="n">
        <f aca="false">AVERAGE(N18:O18)</f>
        <v>5.4</v>
      </c>
      <c r="V18" s="23" t="str">
        <f aca="false">IF(S18&gt;='판정 기준'!$B$3,"H","L")&amp;IF(T18&gt;='판정 기준'!$B$3,"H","L")&amp;IF(U18&gt;='판정 기준'!$B$3,"H","L")</f>
        <v>LHH</v>
      </c>
      <c r="W18" s="36" t="str">
        <f aca="false">INDEX('포지션 정의'!$A$2:$A$9,MATCH(V18,'포지션 정의'!$D$2:$D$9,0))</f>
        <v>F</v>
      </c>
      <c r="X18" s="36" t="str">
        <f aca="false">INDEX('포지션 정의'!$B$2:$B$9,MATCH(V18,'포지션 정의'!$D$2:$D$9,0))</f>
        <v>성실한 도전자형</v>
      </c>
      <c r="Y18" s="43" t="str">
        <f aca="false">IF(AJ18="","가장 높은 지표: "&amp;AP18,LEFT(AJ18,LEN(AJ18)-2))</f>
        <v>사회적 도움 활용, 경기 준비 능력, 실수 후 회복력</v>
      </c>
      <c r="Z18" s="43" t="str">
        <f aca="false">IF(MAX(AK18:AO18)=0,"심화: "&amp;IF(N18=MIN(G18,Q18,K18,N18,P18),"실수 후 회복력",IF(K18=MIN(G18,Q18,K18,N18,P18),"경기 준비 능력",IF(G18=MIN(G18,Q18,K18,N18,P18),"경기긴장도",IF(P18=MIN(G18,Q18,K18,N18,P18),"자기 통제력","사회적 도움 활용")))),IF(MAX(AK18:AO18)&gt;='판정 기준'!$B$8-'판정 기준'!$B$4,IF(AN18=MAX(AK18:AO18),"실수 후 회복력",IF(AM18=MAX(AK18:AO18),"경기 준비 능력",IF(AK18=MAX(AK18:AO18),"경기긴장도",IF(AO18=MAX(AK18:AO18),"자기 통제력","사회적 도움 활용")))),IF(AN18&gt;0,"실수 후 회복력",IF(AM18&gt;0,"경기 준비 능력",IF(AK18&gt;0,"경기긴장도",IF(AO18&gt;0,"자기 통제력","사회적 도움 활용"))))))</f>
        <v>경기긴장도</v>
      </c>
      <c r="AA18" s="43" t="str">
        <f aca="false">INDEX('포지션 정의'!$L$2:$L$9,MATCH(V18,'포지션 정의'!$D$2:$D$9,0))</f>
        <v>제이미 바디 · 은골로 캉테 · 박지성</v>
      </c>
      <c r="AB18" s="24" t="n">
        <f aca="false">ROUND(100*(1-SQRT(((S18-'포지션 정의'!$N$2)^2+(T18-'포지션 정의'!$O$2)^2+(U18-'포지션 정의'!$P$2)^2)/3)/'판정 기준'!$B$7),0)</f>
        <v>80</v>
      </c>
      <c r="AC18" s="24" t="n">
        <f aca="false">ROUND(100*(1-SQRT(((S18-'포지션 정의'!$N$3)^2+(T18-'포지션 정의'!$O$3)^2+(U18-'포지션 정의'!$P$3)^2)/3)/'판정 기준'!$B$7),0)</f>
        <v>71</v>
      </c>
      <c r="AD18" s="24" t="n">
        <f aca="false">ROUND(100*(1-SQRT(((S18-'포지션 정의'!$N$4)^2+(T18-'포지션 정의'!$O$4)^2+(U18-'포지션 정의'!$P$4)^2)/3)/'판정 기준'!$B$7),0)</f>
        <v>65</v>
      </c>
      <c r="AE18" s="24" t="n">
        <f aca="false">ROUND(100*(1-SQRT(((S18-'포지션 정의'!$N$5)^2+(T18-'포지션 정의'!$O$5)^2+(U18-'포지션 정의'!$P$5)^2)/3)/'판정 기준'!$B$7),0)</f>
        <v>70</v>
      </c>
      <c r="AF18" s="24" t="n">
        <f aca="false">ROUND(100*(1-SQRT(((S18-'포지션 정의'!$N$6)^2+(T18-'포지션 정의'!$O$6)^2+(U18-'포지션 정의'!$P$6)^2)/3)/'판정 기준'!$B$7),0)</f>
        <v>78</v>
      </c>
      <c r="AG18" s="24" t="n">
        <f aca="false">ROUND(100*(1-SQRT(((S18-'포지션 정의'!$N$7)^2+(T18-'포지션 정의'!$O$7)^2+(U18-'포지션 정의'!$P$7)^2)/3)/'판정 기준'!$B$7),0)</f>
        <v>93</v>
      </c>
      <c r="AH18" s="24" t="n">
        <f aca="false">ROUND(100*(1-SQRT(((S18-'포지션 정의'!$N$8)^2+(T18-'포지션 정의'!$O$8)^2+(U18-'포지션 정의'!$P$8)^2)/3)/'판정 기준'!$B$7),0)</f>
        <v>72</v>
      </c>
      <c r="AI18" s="24" t="n">
        <f aca="false">ROUND(100*(1-SQRT(((S18-'포지션 정의'!$N$9)^2+(T18-'포지션 정의'!$O$9)^2+(U18-'포지션 정의'!$P$9)^2)/3)/'판정 기준'!$B$7),0)</f>
        <v>78</v>
      </c>
      <c r="AJ18" s="23" t="str">
        <f aca="false">IF(G18&gt;='판정 기준'!$B$8,"경기긴장도, ","")&amp;IF(Q18&gt;='판정 기준'!$B$8,"사회적 도움 활용, ","")&amp;IF(K18&gt;='판정 기준'!$B$8,"경기 준비 능력, ","")&amp;IF(N18&gt;='판정 기준'!$B$8,"실수 후 회복력, ","")&amp;IF(P18&gt;='판정 기준'!$B$8,"자기 통제력, ","")</f>
        <v>사회적 도움 활용, 경기 준비 능력, 실수 후 회복력, </v>
      </c>
      <c r="AK18" s="23" t="n">
        <f aca="false">IF(AND(G18&lt;'판정 기준'!$B$8,OR(AJ18&lt;&gt;"",AP18&lt;&gt;"경기긴장도")),G18,0)</f>
        <v>3.4</v>
      </c>
      <c r="AL18" s="23" t="n">
        <f aca="false">IF(AND(Q18&lt;'판정 기준'!$B$8,OR(AJ18&lt;&gt;"",AP18&lt;&gt;"사회적 도움 활용")),Q18,0)</f>
        <v>0</v>
      </c>
      <c r="AM18" s="23" t="n">
        <f aca="false">IF(AND(K18&lt;'판정 기준'!$B$8,OR(AJ18&lt;&gt;"",AP18&lt;&gt;"경기 준비 능력")),K18,0)</f>
        <v>0</v>
      </c>
      <c r="AN18" s="23" t="n">
        <f aca="false">IF(AND(N18&lt;'판정 기준'!$B$8,OR(AJ18&lt;&gt;"",AP18&lt;&gt;"실수 후 회복력")),N18,0)</f>
        <v>0</v>
      </c>
      <c r="AO18" s="23" t="n">
        <f aca="false">IF(AND(P18&lt;'판정 기준'!$B$8,OR(AJ18&lt;&gt;"",AP18&lt;&gt;"자기 통제력")),P18,0)</f>
        <v>2.5</v>
      </c>
      <c r="AP18" s="23" t="str">
        <f aca="false">IF(Q18=MAX(G18,Q18,K18,N18,P18),"사회적 도움 활용",IF(P18=MAX(G18,Q18,K18,N18,P18),"자기 통제력",IF(G18=MAX(G18,Q18,K18,N18,P18),"경기긴장도",IF(K18=MAX(G18,Q18,K18,N18,P18),"경기 준비 능력","실수 후 회복력"))))</f>
        <v>사회적 도움 활용</v>
      </c>
    </row>
    <row r="19" customFormat="false" ht="17.15" hidden="false" customHeight="false" outlineLevel="0" collapsed="false">
      <c r="A19" s="13" t="s">
        <v>217</v>
      </c>
      <c r="B19" s="13" t="s">
        <v>187</v>
      </c>
      <c r="C19" s="13" t="s">
        <v>216</v>
      </c>
      <c r="D19" s="14" t="n">
        <v>46228</v>
      </c>
      <c r="E19" s="41" t="s">
        <v>198</v>
      </c>
      <c r="F19" s="42" t="n">
        <v>4.3</v>
      </c>
      <c r="G19" s="42" t="n">
        <v>3.4</v>
      </c>
      <c r="H19" s="42" t="n">
        <v>3.5</v>
      </c>
      <c r="I19" s="42" t="n">
        <v>3.4</v>
      </c>
      <c r="J19" s="42" t="n">
        <v>3.3</v>
      </c>
      <c r="K19" s="42" t="n">
        <v>4.2</v>
      </c>
      <c r="L19" s="42" t="n">
        <v>4.3</v>
      </c>
      <c r="M19" s="42" t="n">
        <v>4</v>
      </c>
      <c r="N19" s="42" t="n">
        <v>4.7</v>
      </c>
      <c r="O19" s="42" t="n">
        <v>4.2</v>
      </c>
      <c r="P19" s="42" t="n">
        <v>4.7</v>
      </c>
      <c r="Q19" s="42" t="n">
        <v>4.6</v>
      </c>
      <c r="R19" s="42" t="n">
        <v>5</v>
      </c>
      <c r="S19" s="37" t="n">
        <f aca="false">AVERAGE(G19:J19)</f>
        <v>3.4</v>
      </c>
      <c r="T19" s="37" t="n">
        <f aca="false">AVERAGE(K19:M19)</f>
        <v>4.16666666666667</v>
      </c>
      <c r="U19" s="37" t="n">
        <f aca="false">AVERAGE(N19:O19)</f>
        <v>4.45</v>
      </c>
      <c r="V19" s="23" t="str">
        <f aca="false">IF(S19&gt;='판정 기준'!$B$3,"H","L")&amp;IF(T19&gt;='판정 기준'!$B$3,"H","L")&amp;IF(U19&gt;='판정 기준'!$B$3,"H","L")</f>
        <v>LLL</v>
      </c>
      <c r="W19" s="36" t="str">
        <f aca="false">INDEX('포지션 정의'!$A$2:$A$9,MATCH(V19,'포지션 정의'!$D$2:$D$9,0))</f>
        <v>G</v>
      </c>
      <c r="X19" s="36" t="str">
        <f aca="false">INDEX('포지션 정의'!$B$2:$B$9,MATCH(V19,'포지션 정의'!$D$2:$D$9,0))</f>
        <v>스펀지 흡수형</v>
      </c>
      <c r="Y19" s="43" t="str">
        <f aca="false">IF(AJ19="","가장 높은 지표: "&amp;AP19,LEFT(AJ19,LEN(AJ19)-2))</f>
        <v>가장 높은 지표: 자기 통제력</v>
      </c>
      <c r="Z19" s="43" t="str">
        <f aca="false">IF(MAX(AK19:AO19)=0,"심화: "&amp;IF(N19=MIN(G19,Q19,K19,N19,P19),"실수 후 회복력",IF(K19=MIN(G19,Q19,K19,N19,P19),"경기 준비 능력",IF(G19=MIN(G19,Q19,K19,N19,P19),"경기긴장도",IF(P19=MIN(G19,Q19,K19,N19,P19),"자기 통제력","사회적 도움 활용")))),IF(MAX(AK19:AO19)&gt;='판정 기준'!$B$8-'판정 기준'!$B$4,IF(AN19=MAX(AK19:AO19),"실수 후 회복력",IF(AM19=MAX(AK19:AO19),"경기 준비 능력",IF(AK19=MAX(AK19:AO19),"경기긴장도",IF(AO19=MAX(AK19:AO19),"자기 통제력","사회적 도움 활용")))),IF(AN19&gt;0,"실수 후 회복력",IF(AM19&gt;0,"경기 준비 능력",IF(AK19&gt;0,"경기긴장도",IF(AO19&gt;0,"자기 통제력","사회적 도움 활용"))))))</f>
        <v>실수 후 회복력</v>
      </c>
      <c r="AA19" s="43" t="str">
        <f aca="false">INDEX('포지션 정의'!$L$2:$L$9,MATCH(V19,'포지션 정의'!$D$2:$D$9,0))</f>
        <v>디디에 드로그바 · 앙투안 그리즈만 · 모하메드 살라</v>
      </c>
      <c r="AB19" s="24" t="n">
        <f aca="false">ROUND(100*(1-SQRT(((S19-'포지션 정의'!$N$2)^2+(T19-'포지션 정의'!$O$2)^2+(U19-'포지션 정의'!$P$2)^2)/3)/'판정 기준'!$B$7),0)</f>
        <v>85</v>
      </c>
      <c r="AC19" s="24" t="n">
        <f aca="false">ROUND(100*(1-SQRT(((S19-'포지션 정의'!$N$3)^2+(T19-'포지션 정의'!$O$3)^2+(U19-'포지션 정의'!$P$3)^2)/3)/'판정 기준'!$B$7),0)</f>
        <v>75</v>
      </c>
      <c r="AD19" s="24" t="n">
        <f aca="false">ROUND(100*(1-SQRT(((S19-'포지션 정의'!$N$4)^2+(T19-'포지션 정의'!$O$4)^2+(U19-'포지션 정의'!$P$4)^2)/3)/'판정 기준'!$B$7),0)</f>
        <v>77</v>
      </c>
      <c r="AE19" s="24" t="n">
        <f aca="false">ROUND(100*(1-SQRT(((S19-'포지션 정의'!$N$5)^2+(T19-'포지션 정의'!$O$5)^2+(U19-'포지션 정의'!$P$5)^2)/3)/'판정 기준'!$B$7),0)</f>
        <v>77</v>
      </c>
      <c r="AF19" s="24" t="n">
        <f aca="false">ROUND(100*(1-SQRT(((S19-'포지션 정의'!$N$6)^2+(T19-'포지션 정의'!$O$6)^2+(U19-'포지션 정의'!$P$6)^2)/3)/'판정 기준'!$B$7),0)</f>
        <v>89</v>
      </c>
      <c r="AG19" s="24" t="n">
        <f aca="false">ROUND(100*(1-SQRT(((S19-'포지션 정의'!$N$7)^2+(T19-'포지션 정의'!$O$7)^2+(U19-'포지션 정의'!$P$7)^2)/3)/'판정 기준'!$B$7),0)</f>
        <v>85</v>
      </c>
      <c r="AH19" s="24" t="n">
        <f aca="false">ROUND(100*(1-SQRT(((S19-'포지션 정의'!$N$8)^2+(T19-'포지션 정의'!$O$8)^2+(U19-'포지션 정의'!$P$8)^2)/3)/'판정 기준'!$B$7),0)</f>
        <v>90</v>
      </c>
      <c r="AI19" s="24" t="n">
        <f aca="false">ROUND(100*(1-SQRT(((S19-'포지션 정의'!$N$9)^2+(T19-'포지션 정의'!$O$9)^2+(U19-'포지션 정의'!$P$9)^2)/3)/'판정 기준'!$B$7),0)</f>
        <v>75</v>
      </c>
      <c r="AJ19" s="23" t="str">
        <f aca="false">IF(G19&gt;='판정 기준'!$B$8,"경기긴장도, ","")&amp;IF(Q19&gt;='판정 기준'!$B$8,"사회적 도움 활용, ","")&amp;IF(K19&gt;='판정 기준'!$B$8,"경기 준비 능력, ","")&amp;IF(N19&gt;='판정 기준'!$B$8,"실수 후 회복력, ","")&amp;IF(P19&gt;='판정 기준'!$B$8,"자기 통제력, ","")</f>
        <v/>
      </c>
      <c r="AK19" s="23" t="n">
        <f aca="false">IF(AND(G19&lt;'판정 기준'!$B$8,OR(AJ19&lt;&gt;"",AP19&lt;&gt;"경기긴장도")),G19,0)</f>
        <v>3.4</v>
      </c>
      <c r="AL19" s="23" t="n">
        <f aca="false">IF(AND(Q19&lt;'판정 기준'!$B$8,OR(AJ19&lt;&gt;"",AP19&lt;&gt;"사회적 도움 활용")),Q19,0)</f>
        <v>4.6</v>
      </c>
      <c r="AM19" s="23" t="n">
        <f aca="false">IF(AND(K19&lt;'판정 기준'!$B$8,OR(AJ19&lt;&gt;"",AP19&lt;&gt;"경기 준비 능력")),K19,0)</f>
        <v>4.2</v>
      </c>
      <c r="AN19" s="23" t="n">
        <f aca="false">IF(AND(N19&lt;'판정 기준'!$B$8,OR(AJ19&lt;&gt;"",AP19&lt;&gt;"실수 후 회복력")),N19,0)</f>
        <v>4.7</v>
      </c>
      <c r="AO19" s="23" t="n">
        <f aca="false">IF(AND(P19&lt;'판정 기준'!$B$8,OR(AJ19&lt;&gt;"",AP19&lt;&gt;"자기 통제력")),P19,0)</f>
        <v>0</v>
      </c>
      <c r="AP19" s="23" t="str">
        <f aca="false">IF(Q19=MAX(G19,Q19,K19,N19,P19),"사회적 도움 활용",IF(P19=MAX(G19,Q19,K19,N19,P19),"자기 통제력",IF(G19=MAX(G19,Q19,K19,N19,P19),"경기긴장도",IF(K19=MAX(G19,Q19,K19,N19,P19),"경기 준비 능력","실수 후 회복력"))))</f>
        <v>자기 통제력</v>
      </c>
    </row>
    <row r="20" customFormat="false" ht="17.15" hidden="false" customHeight="false" outlineLevel="0" collapsed="false">
      <c r="A20" s="13" t="s">
        <v>218</v>
      </c>
      <c r="B20" s="13" t="s">
        <v>187</v>
      </c>
      <c r="C20" s="13" t="s">
        <v>216</v>
      </c>
      <c r="D20" s="14" t="n">
        <v>46228</v>
      </c>
      <c r="E20" s="41" t="s">
        <v>198</v>
      </c>
      <c r="F20" s="42" t="n">
        <v>4.4</v>
      </c>
      <c r="G20" s="42" t="n">
        <v>4.4</v>
      </c>
      <c r="H20" s="42" t="n">
        <v>4.3</v>
      </c>
      <c r="I20" s="42" t="n">
        <v>4.8</v>
      </c>
      <c r="J20" s="42" t="n">
        <v>4.2</v>
      </c>
      <c r="K20" s="42" t="n">
        <v>4</v>
      </c>
      <c r="L20" s="42" t="n">
        <v>3.8</v>
      </c>
      <c r="M20" s="42" t="n">
        <v>4.1</v>
      </c>
      <c r="N20" s="42" t="n">
        <v>4.6</v>
      </c>
      <c r="O20" s="42" t="n">
        <v>4.7</v>
      </c>
      <c r="P20" s="42" t="n">
        <v>4.7</v>
      </c>
      <c r="Q20" s="42" t="n">
        <v>5.4</v>
      </c>
      <c r="R20" s="42" t="n">
        <v>5</v>
      </c>
      <c r="S20" s="37" t="n">
        <f aca="false">AVERAGE(G20:J20)</f>
        <v>4.425</v>
      </c>
      <c r="T20" s="37" t="n">
        <f aca="false">AVERAGE(K20:M20)</f>
        <v>3.96666666666667</v>
      </c>
      <c r="U20" s="37" t="n">
        <f aca="false">AVERAGE(N20:O20)</f>
        <v>4.65</v>
      </c>
      <c r="V20" s="23" t="str">
        <f aca="false">IF(S20&gt;='판정 기준'!$B$3,"H","L")&amp;IF(T20&gt;='판정 기준'!$B$3,"H","L")&amp;IF(U20&gt;='판정 기준'!$B$3,"H","L")</f>
        <v>LLH</v>
      </c>
      <c r="W20" s="36" t="str">
        <f aca="false">INDEX('포지션 정의'!$A$2:$A$9,MATCH(V20,'포지션 정의'!$D$2:$D$9,0))</f>
        <v>E</v>
      </c>
      <c r="X20" s="36" t="str">
        <f aca="false">INDEX('포지션 정의'!$B$2:$B$9,MATCH(V20,'포지션 정의'!$D$2:$D$9,0))</f>
        <v>오뚝이 회복형</v>
      </c>
      <c r="Y20" s="43" t="str">
        <f aca="false">IF(AJ20="","가장 높은 지표: "&amp;AP20,LEFT(AJ20,LEN(AJ20)-2))</f>
        <v>사회적 도움 활용</v>
      </c>
      <c r="Z20" s="43" t="str">
        <f aca="false">IF(MAX(AK20:AO20)=0,"심화: "&amp;IF(N20=MIN(G20,Q20,K20,N20,P20),"실수 후 회복력",IF(K20=MIN(G20,Q20,K20,N20,P20),"경기 준비 능력",IF(G20=MIN(G20,Q20,K20,N20,P20),"경기긴장도",IF(P20=MIN(G20,Q20,K20,N20,P20),"자기 통제력","사회적 도움 활용")))),IF(MAX(AK20:AO20)&gt;='판정 기준'!$B$8-'판정 기준'!$B$4,IF(AN20=MAX(AK20:AO20),"실수 후 회복력",IF(AM20=MAX(AK20:AO20),"경기 준비 능력",IF(AK20=MAX(AK20:AO20),"경기긴장도",IF(AO20=MAX(AK20:AO20),"자기 통제력","사회적 도움 활용")))),IF(AN20&gt;0,"실수 후 회복력",IF(AM20&gt;0,"경기 준비 능력",IF(AK20&gt;0,"경기긴장도",IF(AO20&gt;0,"자기 통제력","사회적 도움 활용"))))))</f>
        <v>자기 통제력</v>
      </c>
      <c r="AA20" s="43" t="str">
        <f aca="false">INDEX('포지션 정의'!$L$2:$L$9,MATCH(V20,'포지션 정의'!$D$2:$D$9,0))</f>
        <v>올리비에 지루 · 디에고 포를란 · 라다멜 팔카오</v>
      </c>
      <c r="AB20" s="24" t="n">
        <f aca="false">ROUND(100*(1-SQRT(((S20-'포지션 정의'!$N$2)^2+(T20-'포지션 정의'!$O$2)^2+(U20-'포지션 정의'!$P$2)^2)/3)/'판정 기준'!$B$7),0)</f>
        <v>81</v>
      </c>
      <c r="AC20" s="24" t="n">
        <f aca="false">ROUND(100*(1-SQRT(((S20-'포지션 정의'!$N$3)^2+(T20-'포지션 정의'!$O$3)^2+(U20-'포지션 정의'!$P$3)^2)/3)/'판정 기준'!$B$7),0)</f>
        <v>81</v>
      </c>
      <c r="AD20" s="24" t="n">
        <f aca="false">ROUND(100*(1-SQRT(((S20-'포지션 정의'!$N$4)^2+(T20-'포지션 정의'!$O$4)^2+(U20-'포지션 정의'!$P$4)^2)/3)/'판정 기준'!$B$7),0)</f>
        <v>87</v>
      </c>
      <c r="AE20" s="24" t="n">
        <f aca="false">ROUND(100*(1-SQRT(((S20-'포지션 정의'!$N$5)^2+(T20-'포지션 정의'!$O$5)^2+(U20-'포지션 정의'!$P$5)^2)/3)/'판정 기준'!$B$7),0)</f>
        <v>89</v>
      </c>
      <c r="AF20" s="24" t="n">
        <f aca="false">ROUND(100*(1-SQRT(((S20-'포지션 정의'!$N$6)^2+(T20-'포지션 정의'!$O$6)^2+(U20-'포지션 정의'!$P$6)^2)/3)/'판정 기준'!$B$7),0)</f>
        <v>90</v>
      </c>
      <c r="AG20" s="24" t="n">
        <f aca="false">ROUND(100*(1-SQRT(((S20-'포지션 정의'!$N$7)^2+(T20-'포지션 정의'!$O$7)^2+(U20-'포지션 정의'!$P$7)^2)/3)/'판정 기준'!$B$7),0)</f>
        <v>83</v>
      </c>
      <c r="AH20" s="24" t="n">
        <f aca="false">ROUND(100*(1-SQRT(((S20-'포지션 정의'!$N$8)^2+(T20-'포지션 정의'!$O$8)^2+(U20-'포지션 정의'!$P$8)^2)/3)/'판정 기준'!$B$7),0)</f>
        <v>88</v>
      </c>
      <c r="AI20" s="24" t="n">
        <f aca="false">ROUND(100*(1-SQRT(((S20-'포지션 정의'!$N$9)^2+(T20-'포지션 정의'!$O$9)^2+(U20-'포지션 정의'!$P$9)^2)/3)/'판정 기준'!$B$7),0)</f>
        <v>82</v>
      </c>
      <c r="AJ20" s="23" t="str">
        <f aca="false">IF(G20&gt;='판정 기준'!$B$8,"경기긴장도, ","")&amp;IF(Q20&gt;='판정 기준'!$B$8,"사회적 도움 활용, ","")&amp;IF(K20&gt;='판정 기준'!$B$8,"경기 준비 능력, ","")&amp;IF(N20&gt;='판정 기준'!$B$8,"실수 후 회복력, ","")&amp;IF(P20&gt;='판정 기준'!$B$8,"자기 통제력, ","")</f>
        <v>사회적 도움 활용, </v>
      </c>
      <c r="AK20" s="23" t="n">
        <f aca="false">IF(AND(G20&lt;'판정 기준'!$B$8,OR(AJ20&lt;&gt;"",AP20&lt;&gt;"경기긴장도")),G20,0)</f>
        <v>4.4</v>
      </c>
      <c r="AL20" s="23" t="n">
        <f aca="false">IF(AND(Q20&lt;'판정 기준'!$B$8,OR(AJ20&lt;&gt;"",AP20&lt;&gt;"사회적 도움 활용")),Q20,0)</f>
        <v>0</v>
      </c>
      <c r="AM20" s="23" t="n">
        <f aca="false">IF(AND(K20&lt;'판정 기준'!$B$8,OR(AJ20&lt;&gt;"",AP20&lt;&gt;"경기 준비 능력")),K20,0)</f>
        <v>4</v>
      </c>
      <c r="AN20" s="23" t="n">
        <f aca="false">IF(AND(N20&lt;'판정 기준'!$B$8,OR(AJ20&lt;&gt;"",AP20&lt;&gt;"실수 후 회복력")),N20,0)</f>
        <v>4.6</v>
      </c>
      <c r="AO20" s="23" t="n">
        <f aca="false">IF(AND(P20&lt;'판정 기준'!$B$8,OR(AJ20&lt;&gt;"",AP20&lt;&gt;"자기 통제력")),P20,0)</f>
        <v>4.7</v>
      </c>
      <c r="AP20" s="23" t="str">
        <f aca="false">IF(Q20=MAX(G20,Q20,K20,N20,P20),"사회적 도움 활용",IF(P20=MAX(G20,Q20,K20,N20,P20),"자기 통제력",IF(G20=MAX(G20,Q20,K20,N20,P20),"경기긴장도",IF(K20=MAX(G20,Q20,K20,N20,P20),"경기 준비 능력","실수 후 회복력"))))</f>
        <v>사회적 도움 활용</v>
      </c>
    </row>
    <row r="21" customFormat="false" ht="17.15" hidden="false" customHeight="false" outlineLevel="0" collapsed="false">
      <c r="A21" s="13" t="s">
        <v>219</v>
      </c>
      <c r="B21" s="13" t="s">
        <v>187</v>
      </c>
      <c r="C21" s="13" t="s">
        <v>216</v>
      </c>
      <c r="D21" s="14" t="n">
        <v>46228</v>
      </c>
      <c r="E21" s="41" t="s">
        <v>193</v>
      </c>
      <c r="F21" s="42" t="n">
        <v>5</v>
      </c>
      <c r="G21" s="42" t="n">
        <v>5.6</v>
      </c>
      <c r="H21" s="42" t="n">
        <v>5.7</v>
      </c>
      <c r="I21" s="42" t="n">
        <v>5.8</v>
      </c>
      <c r="J21" s="42" t="n">
        <v>5.2</v>
      </c>
      <c r="K21" s="42" t="n">
        <v>4.1</v>
      </c>
      <c r="L21" s="42" t="n">
        <v>4</v>
      </c>
      <c r="M21" s="42" t="n">
        <v>4.1</v>
      </c>
      <c r="N21" s="42" t="n">
        <v>5.7</v>
      </c>
      <c r="O21" s="42" t="n">
        <v>6</v>
      </c>
      <c r="P21" s="42" t="n">
        <v>4.5</v>
      </c>
      <c r="Q21" s="42" t="n">
        <v>6</v>
      </c>
      <c r="R21" s="42" t="n">
        <v>6</v>
      </c>
      <c r="S21" s="37" t="n">
        <f aca="false">AVERAGE(G21:J21)</f>
        <v>5.575</v>
      </c>
      <c r="T21" s="37" t="n">
        <f aca="false">AVERAGE(K21:M21)</f>
        <v>4.06666666666667</v>
      </c>
      <c r="U21" s="37" t="n">
        <f aca="false">AVERAGE(N21:O21)</f>
        <v>5.85</v>
      </c>
      <c r="V21" s="23" t="str">
        <f aca="false">IF(S21&gt;='판정 기준'!$B$3,"H","L")&amp;IF(T21&gt;='판정 기준'!$B$3,"H","L")&amp;IF(U21&gt;='판정 기준'!$B$3,"H","L")</f>
        <v>HLH</v>
      </c>
      <c r="W21" s="36" t="str">
        <f aca="false">INDEX('포지션 정의'!$A$2:$A$9,MATCH(V21,'포지션 정의'!$D$2:$D$9,0))</f>
        <v>D</v>
      </c>
      <c r="X21" s="36" t="str">
        <f aca="false">INDEX('포지션 정의'!$B$2:$B$9,MATCH(V21,'포지션 정의'!$D$2:$D$9,0))</f>
        <v>실전 승부사형</v>
      </c>
      <c r="Y21" s="43" t="str">
        <f aca="false">IF(AJ21="","가장 높은 지표: "&amp;AP21,LEFT(AJ21,LEN(AJ21)-2))</f>
        <v>경기긴장도, 사회적 도움 활용, 실수 후 회복력</v>
      </c>
      <c r="Z21" s="43" t="str">
        <f aca="false">IF(MAX(AK21:AO21)=0,"심화: "&amp;IF(N21=MIN(G21,Q21,K21,N21,P21),"실수 후 회복력",IF(K21=MIN(G21,Q21,K21,N21,P21),"경기 준비 능력",IF(G21=MIN(G21,Q21,K21,N21,P21),"경기긴장도",IF(P21=MIN(G21,Q21,K21,N21,P21),"자기 통제력","사회적 도움 활용")))),IF(MAX(AK21:AO21)&gt;='판정 기준'!$B$8-'판정 기준'!$B$4,IF(AN21=MAX(AK21:AO21),"실수 후 회복력",IF(AM21=MAX(AK21:AO21),"경기 준비 능력",IF(AK21=MAX(AK21:AO21),"경기긴장도",IF(AO21=MAX(AK21:AO21),"자기 통제력","사회적 도움 활용")))),IF(AN21&gt;0,"실수 후 회복력",IF(AM21&gt;0,"경기 준비 능력",IF(AK21&gt;0,"경기긴장도",IF(AO21&gt;0,"자기 통제력","사회적 도움 활용"))))))</f>
        <v>자기 통제력</v>
      </c>
      <c r="AA21" s="43" t="str">
        <f aca="false">INDEX('포지션 정의'!$L$2:$L$9,MATCH(V21,'포지션 정의'!$D$2:$D$9,0))</f>
        <v>즐라탄 이브라히모비치 · 호나우지뉴 · 디에고 마라도나</v>
      </c>
      <c r="AB21" s="24" t="n">
        <f aca="false">ROUND(100*(1-SQRT(((S21-'포지션 정의'!$N$2)^2+(T21-'포지션 정의'!$O$2)^2+(U21-'포지션 정의'!$P$2)^2)/3)/'판정 기준'!$B$7),0)</f>
        <v>66</v>
      </c>
      <c r="AC21" s="24" t="n">
        <f aca="false">ROUND(100*(1-SQRT(((S21-'포지션 정의'!$N$3)^2+(T21-'포지션 정의'!$O$3)^2+(U21-'포지션 정의'!$P$3)^2)/3)/'판정 기준'!$B$7),0)</f>
        <v>73</v>
      </c>
      <c r="AD21" s="24" t="n">
        <f aca="false">ROUND(100*(1-SQRT(((S21-'포지션 정의'!$N$4)^2+(T21-'포지션 정의'!$O$4)^2+(U21-'포지션 정의'!$P$4)^2)/3)/'판정 기준'!$B$7),0)</f>
        <v>76</v>
      </c>
      <c r="AE21" s="24" t="n">
        <f aca="false">ROUND(100*(1-SQRT(((S21-'포지션 정의'!$N$5)^2+(T21-'포지션 정의'!$O$5)^2+(U21-'포지션 정의'!$P$5)^2)/3)/'판정 기준'!$B$7),0)</f>
        <v>91</v>
      </c>
      <c r="AF21" s="24" t="n">
        <f aca="false">ROUND(100*(1-SQRT(((S21-'포지션 정의'!$N$6)^2+(T21-'포지션 정의'!$O$6)^2+(U21-'포지션 정의'!$P$6)^2)/3)/'판정 기준'!$B$7),0)</f>
        <v>78</v>
      </c>
      <c r="AG21" s="24" t="n">
        <f aca="false">ROUND(100*(1-SQRT(((S21-'포지션 정의'!$N$7)^2+(T21-'포지션 정의'!$O$7)^2+(U21-'포지션 정의'!$P$7)^2)/3)/'판정 기준'!$B$7),0)</f>
        <v>75</v>
      </c>
      <c r="AH21" s="24" t="n">
        <f aca="false">ROUND(100*(1-SQRT(((S21-'포지션 정의'!$N$8)^2+(T21-'포지션 정의'!$O$8)^2+(U21-'포지션 정의'!$P$8)^2)/3)/'판정 기준'!$B$7),0)</f>
        <v>69</v>
      </c>
      <c r="AI21" s="24" t="n">
        <f aca="false">ROUND(100*(1-SQRT(((S21-'포지션 정의'!$N$9)^2+(T21-'포지션 정의'!$O$9)^2+(U21-'포지션 정의'!$P$9)^2)/3)/'판정 기준'!$B$7),0)</f>
        <v>84</v>
      </c>
      <c r="AJ21" s="23" t="str">
        <f aca="false">IF(G21&gt;='판정 기준'!$B$8,"경기긴장도, ","")&amp;IF(Q21&gt;='판정 기준'!$B$8,"사회적 도움 활용, ","")&amp;IF(K21&gt;='판정 기준'!$B$8,"경기 준비 능력, ","")&amp;IF(N21&gt;='판정 기준'!$B$8,"실수 후 회복력, ","")&amp;IF(P21&gt;='판정 기준'!$B$8,"자기 통제력, ","")</f>
        <v>경기긴장도, 사회적 도움 활용, 실수 후 회복력, </v>
      </c>
      <c r="AK21" s="23" t="n">
        <f aca="false">IF(AND(G21&lt;'판정 기준'!$B$8,OR(AJ21&lt;&gt;"",AP21&lt;&gt;"경기긴장도")),G21,0)</f>
        <v>0</v>
      </c>
      <c r="AL21" s="23" t="n">
        <f aca="false">IF(AND(Q21&lt;'판정 기준'!$B$8,OR(AJ21&lt;&gt;"",AP21&lt;&gt;"사회적 도움 활용")),Q21,0)</f>
        <v>0</v>
      </c>
      <c r="AM21" s="23" t="n">
        <f aca="false">IF(AND(K21&lt;'판정 기준'!$B$8,OR(AJ21&lt;&gt;"",AP21&lt;&gt;"경기 준비 능력")),K21,0)</f>
        <v>4.1</v>
      </c>
      <c r="AN21" s="23" t="n">
        <f aca="false">IF(AND(N21&lt;'판정 기준'!$B$8,OR(AJ21&lt;&gt;"",AP21&lt;&gt;"실수 후 회복력")),N21,0)</f>
        <v>0</v>
      </c>
      <c r="AO21" s="23" t="n">
        <f aca="false">IF(AND(P21&lt;'판정 기준'!$B$8,OR(AJ21&lt;&gt;"",AP21&lt;&gt;"자기 통제력")),P21,0)</f>
        <v>4.5</v>
      </c>
      <c r="AP21" s="23" t="str">
        <f aca="false">IF(Q21=MAX(G21,Q21,K21,N21,P21),"사회적 도움 활용",IF(P21=MAX(G21,Q21,K21,N21,P21),"자기 통제력",IF(G21=MAX(G21,Q21,K21,N21,P21),"경기긴장도",IF(K21=MAX(G21,Q21,K21,N21,P21),"경기 준비 능력","실수 후 회복력"))))</f>
        <v>사회적 도움 활용</v>
      </c>
    </row>
    <row r="22" customFormat="false" ht="17.15" hidden="false" customHeight="false" outlineLevel="0" collapsed="false">
      <c r="A22" s="13" t="s">
        <v>220</v>
      </c>
      <c r="B22" s="13" t="s">
        <v>187</v>
      </c>
      <c r="C22" s="13" t="s">
        <v>216</v>
      </c>
      <c r="D22" s="14" t="n">
        <v>46228</v>
      </c>
      <c r="E22" s="41" t="s">
        <v>195</v>
      </c>
      <c r="F22" s="42" t="n">
        <v>4</v>
      </c>
      <c r="G22" s="42" t="n">
        <v>3.3</v>
      </c>
      <c r="H22" s="42" t="n">
        <v>2.8</v>
      </c>
      <c r="I22" s="42" t="n">
        <v>4</v>
      </c>
      <c r="J22" s="42" t="n">
        <v>2.5</v>
      </c>
      <c r="K22" s="42" t="n">
        <v>5.5</v>
      </c>
      <c r="L22" s="42" t="n">
        <v>5.5</v>
      </c>
      <c r="M22" s="42" t="n">
        <v>5.4</v>
      </c>
      <c r="N22" s="42" t="n">
        <v>3.3</v>
      </c>
      <c r="O22" s="42" t="n">
        <v>3</v>
      </c>
      <c r="P22" s="42" t="n">
        <v>3.8</v>
      </c>
      <c r="Q22" s="42" t="n">
        <v>5.2</v>
      </c>
      <c r="R22" s="42" t="n">
        <v>5.7</v>
      </c>
      <c r="S22" s="37" t="n">
        <f aca="false">AVERAGE(G22:J22)</f>
        <v>3.15</v>
      </c>
      <c r="T22" s="37" t="n">
        <f aca="false">AVERAGE(K22:M22)</f>
        <v>5.46666666666667</v>
      </c>
      <c r="U22" s="37" t="n">
        <f aca="false">AVERAGE(N22:O22)</f>
        <v>3.15</v>
      </c>
      <c r="V22" s="23" t="str">
        <f aca="false">IF(S22&gt;='판정 기준'!$B$3,"H","L")&amp;IF(T22&gt;='판정 기준'!$B$3,"H","L")&amp;IF(U22&gt;='판정 기준'!$B$3,"H","L")</f>
        <v>LHL</v>
      </c>
      <c r="W22" s="36" t="str">
        <f aca="false">INDEX('포지션 정의'!$A$2:$A$9,MATCH(V22,'포지션 정의'!$D$2:$D$9,0))</f>
        <v>A</v>
      </c>
      <c r="X22" s="36" t="str">
        <f aca="false">INDEX('포지션 정의'!$B$2:$B$9,MATCH(V22,'포지션 정의'!$D$2:$D$9,0))</f>
        <v>섬세한 준비형</v>
      </c>
      <c r="Y22" s="43" t="str">
        <f aca="false">IF(AJ22="","가장 높은 지표: "&amp;AP22,LEFT(AJ22,LEN(AJ22)-2))</f>
        <v>사회적 도움 활용, 경기 준비 능력</v>
      </c>
      <c r="Z22" s="43" t="str">
        <f aca="false">IF(MAX(AK22:AO22)=0,"심화: "&amp;IF(N22=MIN(G22,Q22,K22,N22,P22),"실수 후 회복력",IF(K22=MIN(G22,Q22,K22,N22,P22),"경기 준비 능력",IF(G22=MIN(G22,Q22,K22,N22,P22),"경기긴장도",IF(P22=MIN(G22,Q22,K22,N22,P22),"자기 통제력","사회적 도움 활용")))),IF(MAX(AK22:AO22)&gt;='판정 기준'!$B$8-'판정 기준'!$B$4,IF(AN22=MAX(AK22:AO22),"실수 후 회복력",IF(AM22=MAX(AK22:AO22),"경기 준비 능력",IF(AK22=MAX(AK22:AO22),"경기긴장도",IF(AO22=MAX(AK22:AO22),"자기 통제력","사회적 도움 활용")))),IF(AN22&gt;0,"실수 후 회복력",IF(AM22&gt;0,"경기 준비 능력",IF(AK22&gt;0,"경기긴장도",IF(AO22&gt;0,"자기 통제력","사회적 도움 활용"))))))</f>
        <v>실수 후 회복력</v>
      </c>
      <c r="AA22" s="43" t="str">
        <f aca="false">INDEX('포지션 정의'!$L$2:$L$9,MATCH(V22,'포지션 정의'!$D$2:$D$9,0))</f>
        <v>로베르트 레반도프스키 · 제임스 밀너 · 마르틴 외데고르</v>
      </c>
      <c r="AB22" s="24" t="n">
        <f aca="false">ROUND(100*(1-SQRT(((S22-'포지션 정의'!$N$2)^2+(T22-'포지션 정의'!$O$2)^2+(U22-'포지션 정의'!$P$2)^2)/3)/'판정 기준'!$B$7),0)</f>
        <v>89</v>
      </c>
      <c r="AC22" s="24" t="n">
        <f aca="false">ROUND(100*(1-SQRT(((S22-'포지션 정의'!$N$3)^2+(T22-'포지션 정의'!$O$3)^2+(U22-'포지션 정의'!$P$3)^2)/3)/'판정 기준'!$B$7),0)</f>
        <v>75</v>
      </c>
      <c r="AD22" s="24" t="n">
        <f aca="false">ROUND(100*(1-SQRT(((S22-'포지션 정의'!$N$4)^2+(T22-'포지션 정의'!$O$4)^2+(U22-'포지션 정의'!$P$4)^2)/3)/'판정 기준'!$B$7),0)</f>
        <v>69</v>
      </c>
      <c r="AE22" s="24" t="n">
        <f aca="false">ROUND(100*(1-SQRT(((S22-'포지션 정의'!$N$5)^2+(T22-'포지션 정의'!$O$5)^2+(U22-'포지션 정의'!$P$5)^2)/3)/'판정 기준'!$B$7),0)</f>
        <v>61</v>
      </c>
      <c r="AF22" s="24" t="n">
        <f aca="false">ROUND(100*(1-SQRT(((S22-'포지션 정의'!$N$6)^2+(T22-'포지션 정의'!$O$6)^2+(U22-'포지션 정의'!$P$6)^2)/3)/'판정 기준'!$B$7),0)</f>
        <v>69</v>
      </c>
      <c r="AG22" s="24" t="n">
        <f aca="false">ROUND(100*(1-SQRT(((S22-'포지션 정의'!$N$7)^2+(T22-'포지션 정의'!$O$7)^2+(U22-'포지션 정의'!$P$7)^2)/3)/'판정 기준'!$B$7),0)</f>
        <v>75</v>
      </c>
      <c r="AH22" s="24" t="n">
        <f aca="false">ROUND(100*(1-SQRT(((S22-'포지션 정의'!$N$8)^2+(T22-'포지션 정의'!$O$8)^2+(U22-'포지션 정의'!$P$8)^2)/3)/'판정 기준'!$B$7),0)</f>
        <v>78</v>
      </c>
      <c r="AI22" s="24" t="n">
        <f aca="false">ROUND(100*(1-SQRT(((S22-'포지션 정의'!$N$9)^2+(T22-'포지션 정의'!$O$9)^2+(U22-'포지션 정의'!$P$9)^2)/3)/'판정 기준'!$B$7),0)</f>
        <v>66</v>
      </c>
      <c r="AJ22" s="23" t="str">
        <f aca="false">IF(G22&gt;='판정 기준'!$B$8,"경기긴장도, ","")&amp;IF(Q22&gt;='판정 기준'!$B$8,"사회적 도움 활용, ","")&amp;IF(K22&gt;='판정 기준'!$B$8,"경기 준비 능력, ","")&amp;IF(N22&gt;='판정 기준'!$B$8,"실수 후 회복력, ","")&amp;IF(P22&gt;='판정 기준'!$B$8,"자기 통제력, ","")</f>
        <v>사회적 도움 활용, 경기 준비 능력, </v>
      </c>
      <c r="AK22" s="23" t="n">
        <f aca="false">IF(AND(G22&lt;'판정 기준'!$B$8,OR(AJ22&lt;&gt;"",AP22&lt;&gt;"경기긴장도")),G22,0)</f>
        <v>3.3</v>
      </c>
      <c r="AL22" s="23" t="n">
        <f aca="false">IF(AND(Q22&lt;'판정 기준'!$B$8,OR(AJ22&lt;&gt;"",AP22&lt;&gt;"사회적 도움 활용")),Q22,0)</f>
        <v>0</v>
      </c>
      <c r="AM22" s="23" t="n">
        <f aca="false">IF(AND(K22&lt;'판정 기준'!$B$8,OR(AJ22&lt;&gt;"",AP22&lt;&gt;"경기 준비 능력")),K22,0)</f>
        <v>0</v>
      </c>
      <c r="AN22" s="23" t="n">
        <f aca="false">IF(AND(N22&lt;'판정 기준'!$B$8,OR(AJ22&lt;&gt;"",AP22&lt;&gt;"실수 후 회복력")),N22,0)</f>
        <v>3.3</v>
      </c>
      <c r="AO22" s="23" t="n">
        <f aca="false">IF(AND(P22&lt;'판정 기준'!$B$8,OR(AJ22&lt;&gt;"",AP22&lt;&gt;"자기 통제력")),P22,0)</f>
        <v>3.8</v>
      </c>
      <c r="AP22" s="23" t="str">
        <f aca="false">IF(Q22=MAX(G22,Q22,K22,N22,P22),"사회적 도움 활용",IF(P22=MAX(G22,Q22,K22,N22,P22),"자기 통제력",IF(G22=MAX(G22,Q22,K22,N22,P22),"경기긴장도",IF(K22=MAX(G22,Q22,K22,N22,P22),"경기 준비 능력","실수 후 회복력"))))</f>
        <v>경기 준비 능력</v>
      </c>
    </row>
    <row r="23" customFormat="false" ht="17.15" hidden="false" customHeight="false" outlineLevel="0" collapsed="false">
      <c r="A23" s="13" t="s">
        <v>221</v>
      </c>
      <c r="B23" s="13" t="s">
        <v>187</v>
      </c>
      <c r="C23" s="13" t="s">
        <v>216</v>
      </c>
      <c r="D23" s="14" t="n">
        <v>46228</v>
      </c>
      <c r="E23" s="41" t="s">
        <v>198</v>
      </c>
      <c r="F23" s="42" t="n">
        <v>5</v>
      </c>
      <c r="G23" s="42" t="n">
        <v>5.3</v>
      </c>
      <c r="H23" s="42" t="n">
        <v>4.8</v>
      </c>
      <c r="I23" s="42" t="n">
        <v>5.6</v>
      </c>
      <c r="J23" s="42" t="n">
        <v>5.2</v>
      </c>
      <c r="K23" s="42" t="n">
        <v>4.4</v>
      </c>
      <c r="L23" s="42" t="n">
        <v>4.2</v>
      </c>
      <c r="M23" s="42" t="n">
        <v>4.6</v>
      </c>
      <c r="N23" s="42" t="n">
        <v>5.6</v>
      </c>
      <c r="O23" s="42" t="n">
        <v>5.8</v>
      </c>
      <c r="P23" s="42" t="n">
        <v>4.5</v>
      </c>
      <c r="Q23" s="42" t="n">
        <v>6</v>
      </c>
      <c r="R23" s="42" t="n">
        <v>5</v>
      </c>
      <c r="S23" s="37" t="n">
        <f aca="false">AVERAGE(G23:J23)</f>
        <v>5.225</v>
      </c>
      <c r="T23" s="37" t="n">
        <f aca="false">AVERAGE(K23:M23)</f>
        <v>4.4</v>
      </c>
      <c r="U23" s="37" t="n">
        <f aca="false">AVERAGE(N23:O23)</f>
        <v>5.7</v>
      </c>
      <c r="V23" s="23" t="str">
        <f aca="false">IF(S23&gt;='판정 기준'!$B$3,"H","L")&amp;IF(T23&gt;='판정 기준'!$B$3,"H","L")&amp;IF(U23&gt;='판정 기준'!$B$3,"H","L")</f>
        <v>HLH</v>
      </c>
      <c r="W23" s="36" t="str">
        <f aca="false">INDEX('포지션 정의'!$A$2:$A$9,MATCH(V23,'포지션 정의'!$D$2:$D$9,0))</f>
        <v>D</v>
      </c>
      <c r="X23" s="36" t="str">
        <f aca="false">INDEX('포지션 정의'!$B$2:$B$9,MATCH(V23,'포지션 정의'!$D$2:$D$9,0))</f>
        <v>실전 승부사형</v>
      </c>
      <c r="Y23" s="43" t="str">
        <f aca="false">IF(AJ23="","가장 높은 지표: "&amp;AP23,LEFT(AJ23,LEN(AJ23)-2))</f>
        <v>경기긴장도, 사회적 도움 활용, 실수 후 회복력</v>
      </c>
      <c r="Z23" s="43" t="str">
        <f aca="false">IF(MAX(AK23:AO23)=0,"심화: "&amp;IF(N23=MIN(G23,Q23,K23,N23,P23),"실수 후 회복력",IF(K23=MIN(G23,Q23,K23,N23,P23),"경기 준비 능력",IF(G23=MIN(G23,Q23,K23,N23,P23),"경기긴장도",IF(P23=MIN(G23,Q23,K23,N23,P23),"자기 통제력","사회적 도움 활용")))),IF(MAX(AK23:AO23)&gt;='판정 기준'!$B$8-'판정 기준'!$B$4,IF(AN23=MAX(AK23:AO23),"실수 후 회복력",IF(AM23=MAX(AK23:AO23),"경기 준비 능력",IF(AK23=MAX(AK23:AO23),"경기긴장도",IF(AO23=MAX(AK23:AO23),"자기 통제력","사회적 도움 활용")))),IF(AN23&gt;0,"실수 후 회복력",IF(AM23&gt;0,"경기 준비 능력",IF(AK23&gt;0,"경기긴장도",IF(AO23&gt;0,"자기 통제력","사회적 도움 활용"))))))</f>
        <v>자기 통제력</v>
      </c>
      <c r="AA23" s="43" t="str">
        <f aca="false">INDEX('포지션 정의'!$L$2:$L$9,MATCH(V23,'포지션 정의'!$D$2:$D$9,0))</f>
        <v>즐라탄 이브라히모비치 · 호나우지뉴 · 디에고 마라도나</v>
      </c>
      <c r="AB23" s="24" t="n">
        <f aca="false">ROUND(100*(1-SQRT(((S23-'포지션 정의'!$N$2)^2+(T23-'포지션 정의'!$O$2)^2+(U23-'포지션 정의'!$P$2)^2)/3)/'판정 기준'!$B$7),0)</f>
        <v>71</v>
      </c>
      <c r="AC23" s="24" t="n">
        <f aca="false">ROUND(100*(1-SQRT(((S23-'포지션 정의'!$N$3)^2+(T23-'포지션 정의'!$O$3)^2+(U23-'포지션 정의'!$P$3)^2)/3)/'판정 기준'!$B$7),0)</f>
        <v>76</v>
      </c>
      <c r="AD23" s="24" t="n">
        <f aca="false">ROUND(100*(1-SQRT(((S23-'포지션 정의'!$N$4)^2+(T23-'포지션 정의'!$O$4)^2+(U23-'포지션 정의'!$P$4)^2)/3)/'판정 기준'!$B$7),0)</f>
        <v>77</v>
      </c>
      <c r="AE23" s="24" t="n">
        <f aca="false">ROUND(100*(1-SQRT(((S23-'포지션 정의'!$N$5)^2+(T23-'포지션 정의'!$O$5)^2+(U23-'포지션 정의'!$P$5)^2)/3)/'판정 기준'!$B$7),0)</f>
        <v>91</v>
      </c>
      <c r="AF23" s="24" t="n">
        <f aca="false">ROUND(100*(1-SQRT(((S23-'포지션 정의'!$N$6)^2+(T23-'포지션 정의'!$O$6)^2+(U23-'포지션 정의'!$P$6)^2)/3)/'판정 기준'!$B$7),0)</f>
        <v>81</v>
      </c>
      <c r="AG23" s="24" t="n">
        <f aca="false">ROUND(100*(1-SQRT(((S23-'포지션 정의'!$N$7)^2+(T23-'포지션 정의'!$O$7)^2+(U23-'포지션 정의'!$P$7)^2)/3)/'판정 기준'!$B$7),0)</f>
        <v>80</v>
      </c>
      <c r="AH23" s="24" t="n">
        <f aca="false">ROUND(100*(1-SQRT(((S23-'포지션 정의'!$N$8)^2+(T23-'포지션 정의'!$O$8)^2+(U23-'포지션 정의'!$P$8)^2)/3)/'판정 기준'!$B$7),0)</f>
        <v>72</v>
      </c>
      <c r="AI23" s="24" t="n">
        <f aca="false">ROUND(100*(1-SQRT(((S23-'포지션 정의'!$N$9)^2+(T23-'포지션 정의'!$O$9)^2+(U23-'포지션 정의'!$P$9)^2)/3)/'판정 기준'!$B$7),0)</f>
        <v>89</v>
      </c>
      <c r="AJ23" s="23" t="str">
        <f aca="false">IF(G23&gt;='판정 기준'!$B$8,"경기긴장도, ","")&amp;IF(Q23&gt;='판정 기준'!$B$8,"사회적 도움 활용, ","")&amp;IF(K23&gt;='판정 기준'!$B$8,"경기 준비 능력, ","")&amp;IF(N23&gt;='판정 기준'!$B$8,"실수 후 회복력, ","")&amp;IF(P23&gt;='판정 기준'!$B$8,"자기 통제력, ","")</f>
        <v>경기긴장도, 사회적 도움 활용, 실수 후 회복력, </v>
      </c>
      <c r="AK23" s="23" t="n">
        <f aca="false">IF(AND(G23&lt;'판정 기준'!$B$8,OR(AJ23&lt;&gt;"",AP23&lt;&gt;"경기긴장도")),G23,0)</f>
        <v>0</v>
      </c>
      <c r="AL23" s="23" t="n">
        <f aca="false">IF(AND(Q23&lt;'판정 기준'!$B$8,OR(AJ23&lt;&gt;"",AP23&lt;&gt;"사회적 도움 활용")),Q23,0)</f>
        <v>0</v>
      </c>
      <c r="AM23" s="23" t="n">
        <f aca="false">IF(AND(K23&lt;'판정 기준'!$B$8,OR(AJ23&lt;&gt;"",AP23&lt;&gt;"경기 준비 능력")),K23,0)</f>
        <v>4.4</v>
      </c>
      <c r="AN23" s="23" t="n">
        <f aca="false">IF(AND(N23&lt;'판정 기준'!$B$8,OR(AJ23&lt;&gt;"",AP23&lt;&gt;"실수 후 회복력")),N23,0)</f>
        <v>0</v>
      </c>
      <c r="AO23" s="23" t="n">
        <f aca="false">IF(AND(P23&lt;'판정 기준'!$B$8,OR(AJ23&lt;&gt;"",AP23&lt;&gt;"자기 통제력")),P23,0)</f>
        <v>4.5</v>
      </c>
      <c r="AP23" s="23" t="str">
        <f aca="false">IF(Q23=MAX(G23,Q23,K23,N23,P23),"사회적 도움 활용",IF(P23=MAX(G23,Q23,K23,N23,P23),"자기 통제력",IF(G23=MAX(G23,Q23,K23,N23,P23),"경기긴장도",IF(K23=MAX(G23,Q23,K23,N23,P23),"경기 준비 능력","실수 후 회복력"))))</f>
        <v>사회적 도움 활용</v>
      </c>
    </row>
    <row r="24" customFormat="false" ht="17.15" hidden="false" customHeight="false" outlineLevel="0" collapsed="false">
      <c r="A24" s="13" t="s">
        <v>222</v>
      </c>
      <c r="B24" s="13" t="s">
        <v>187</v>
      </c>
      <c r="C24" s="13" t="s">
        <v>216</v>
      </c>
      <c r="D24" s="14" t="n">
        <v>46228</v>
      </c>
      <c r="E24" s="41" t="s">
        <v>195</v>
      </c>
      <c r="F24" s="42" t="n">
        <v>4.9</v>
      </c>
      <c r="G24" s="42" t="n">
        <v>5.1</v>
      </c>
      <c r="H24" s="42" t="n">
        <v>5.2</v>
      </c>
      <c r="I24" s="42" t="n">
        <v>5.4</v>
      </c>
      <c r="J24" s="42" t="n">
        <v>4.7</v>
      </c>
      <c r="K24" s="42" t="n">
        <v>4.7</v>
      </c>
      <c r="L24" s="42" t="n">
        <v>4.8</v>
      </c>
      <c r="M24" s="42" t="n">
        <v>4.6</v>
      </c>
      <c r="N24" s="42" t="n">
        <v>5.1</v>
      </c>
      <c r="O24" s="42" t="n">
        <v>5.2</v>
      </c>
      <c r="P24" s="42" t="n">
        <v>4.7</v>
      </c>
      <c r="Q24" s="42" t="n">
        <v>5.2</v>
      </c>
      <c r="R24" s="42" t="n">
        <v>5</v>
      </c>
      <c r="S24" s="37" t="n">
        <f aca="false">AVERAGE(G24:J24)</f>
        <v>5.1</v>
      </c>
      <c r="T24" s="37" t="n">
        <f aca="false">AVERAGE(K24:M24)</f>
        <v>4.7</v>
      </c>
      <c r="U24" s="37" t="n">
        <f aca="false">AVERAGE(N24:O24)</f>
        <v>5.15</v>
      </c>
      <c r="V24" s="23" t="str">
        <f aca="false">IF(S24&gt;='판정 기준'!$B$3,"H","L")&amp;IF(T24&gt;='판정 기준'!$B$3,"H","L")&amp;IF(U24&gt;='판정 기준'!$B$3,"H","L")</f>
        <v>HHH</v>
      </c>
      <c r="W24" s="36" t="str">
        <f aca="false">INDEX('포지션 정의'!$A$2:$A$9,MATCH(V24,'포지션 정의'!$D$2:$D$9,0))</f>
        <v>H</v>
      </c>
      <c r="X24" s="36" t="str">
        <f aca="false">INDEX('포지션 정의'!$B$2:$B$9,MATCH(V24,'포지션 정의'!$D$2:$D$9,0))</f>
        <v>올라운드 밸런스형</v>
      </c>
      <c r="Y24" s="43" t="str">
        <f aca="false">IF(AJ24="","가장 높은 지표: "&amp;AP24,LEFT(AJ24,LEN(AJ24)-2))</f>
        <v>경기긴장도, 사회적 도움 활용, 실수 후 회복력</v>
      </c>
      <c r="Z24" s="43" t="str">
        <f aca="false">IF(MAX(AK24:AO24)=0,"심화: "&amp;IF(N24=MIN(G24,Q24,K24,N24,P24),"실수 후 회복력",IF(K24=MIN(G24,Q24,K24,N24,P24),"경기 준비 능력",IF(G24=MIN(G24,Q24,K24,N24,P24),"경기긴장도",IF(P24=MIN(G24,Q24,K24,N24,P24),"자기 통제력","사회적 도움 활용")))),IF(MAX(AK24:AO24)&gt;='판정 기준'!$B$8-'판정 기준'!$B$4,IF(AN24=MAX(AK24:AO24),"실수 후 회복력",IF(AM24=MAX(AK24:AO24),"경기 준비 능력",IF(AK24=MAX(AK24:AO24),"경기긴장도",IF(AO24=MAX(AK24:AO24),"자기 통제력","사회적 도움 활용")))),IF(AN24&gt;0,"실수 후 회복력",IF(AM24&gt;0,"경기 준비 능력",IF(AK24&gt;0,"경기긴장도",IF(AO24&gt;0,"자기 통제력","사회적 도움 활용"))))))</f>
        <v>경기 준비 능력</v>
      </c>
      <c r="AA24" s="43" t="str">
        <f aca="false">INDEX('포지션 정의'!$L$2:$L$9,MATCH(V24,'포지션 정의'!$D$2:$D$9,0))</f>
        <v>크리스티아누 호날두 · 루카 모드리치 · 버질 반 다이크</v>
      </c>
      <c r="AB24" s="24" t="n">
        <f aca="false">ROUND(100*(1-SQRT(((S24-'포지션 정의'!$N$2)^2+(T24-'포지션 정의'!$O$2)^2+(U24-'포지션 정의'!$P$2)^2)/3)/'판정 기준'!$B$7),0)</f>
        <v>78</v>
      </c>
      <c r="AC24" s="24" t="n">
        <f aca="false">ROUND(100*(1-SQRT(((S24-'포지션 정의'!$N$3)^2+(T24-'포지션 정의'!$O$3)^2+(U24-'포지션 정의'!$P$3)^2)/3)/'판정 기준'!$B$7),0)</f>
        <v>83</v>
      </c>
      <c r="AD24" s="24" t="n">
        <f aca="false">ROUND(100*(1-SQRT(((S24-'포지션 정의'!$N$4)^2+(T24-'포지션 정의'!$O$4)^2+(U24-'포지션 정의'!$P$4)^2)/3)/'판정 기준'!$B$7),0)</f>
        <v>81</v>
      </c>
      <c r="AE24" s="24" t="n">
        <f aca="false">ROUND(100*(1-SQRT(((S24-'포지션 정의'!$N$5)^2+(T24-'포지션 정의'!$O$5)^2+(U24-'포지션 정의'!$P$5)^2)/3)/'판정 기준'!$B$7),0)</f>
        <v>90</v>
      </c>
      <c r="AF24" s="24" t="n">
        <f aca="false">ROUND(100*(1-SQRT(((S24-'포지션 정의'!$N$6)^2+(T24-'포지션 정의'!$O$6)^2+(U24-'포지션 정의'!$P$6)^2)/3)/'판정 기준'!$B$7),0)</f>
        <v>82</v>
      </c>
      <c r="AG24" s="24" t="n">
        <f aca="false">ROUND(100*(1-SQRT(((S24-'포지션 정의'!$N$7)^2+(T24-'포지션 정의'!$O$7)^2+(U24-'포지션 정의'!$P$7)^2)/3)/'판정 기준'!$B$7),0)</f>
        <v>84</v>
      </c>
      <c r="AH24" s="24" t="n">
        <f aca="false">ROUND(100*(1-SQRT(((S24-'포지션 정의'!$N$8)^2+(T24-'포지션 정의'!$O$8)^2+(U24-'포지션 정의'!$P$8)^2)/3)/'판정 기준'!$B$7),0)</f>
        <v>76</v>
      </c>
      <c r="AI24" s="24" t="n">
        <f aca="false">ROUND(100*(1-SQRT(((S24-'포지션 정의'!$N$9)^2+(T24-'포지션 정의'!$O$9)^2+(U24-'포지션 정의'!$P$9)^2)/3)/'판정 기준'!$B$7),0)</f>
        <v>94</v>
      </c>
      <c r="AJ24" s="23" t="str">
        <f aca="false">IF(G24&gt;='판정 기준'!$B$8,"경기긴장도, ","")&amp;IF(Q24&gt;='판정 기준'!$B$8,"사회적 도움 활용, ","")&amp;IF(K24&gt;='판정 기준'!$B$8,"경기 준비 능력, ","")&amp;IF(N24&gt;='판정 기준'!$B$8,"실수 후 회복력, ","")&amp;IF(P24&gt;='판정 기준'!$B$8,"자기 통제력, ","")</f>
        <v>경기긴장도, 사회적 도움 활용, 실수 후 회복력, </v>
      </c>
      <c r="AK24" s="23" t="n">
        <f aca="false">IF(AND(G24&lt;'판정 기준'!$B$8,OR(AJ24&lt;&gt;"",AP24&lt;&gt;"경기긴장도")),G24,0)</f>
        <v>0</v>
      </c>
      <c r="AL24" s="23" t="n">
        <f aca="false">IF(AND(Q24&lt;'판정 기준'!$B$8,OR(AJ24&lt;&gt;"",AP24&lt;&gt;"사회적 도움 활용")),Q24,0)</f>
        <v>0</v>
      </c>
      <c r="AM24" s="23" t="n">
        <f aca="false">IF(AND(K24&lt;'판정 기준'!$B$8,OR(AJ24&lt;&gt;"",AP24&lt;&gt;"경기 준비 능력")),K24,0)</f>
        <v>4.7</v>
      </c>
      <c r="AN24" s="23" t="n">
        <f aca="false">IF(AND(N24&lt;'판정 기준'!$B$8,OR(AJ24&lt;&gt;"",AP24&lt;&gt;"실수 후 회복력")),N24,0)</f>
        <v>0</v>
      </c>
      <c r="AO24" s="23" t="n">
        <f aca="false">IF(AND(P24&lt;'판정 기준'!$B$8,OR(AJ24&lt;&gt;"",AP24&lt;&gt;"자기 통제력")),P24,0)</f>
        <v>4.7</v>
      </c>
      <c r="AP24" s="23" t="str">
        <f aca="false">IF(Q24=MAX(G24,Q24,K24,N24,P24),"사회적 도움 활용",IF(P24=MAX(G24,Q24,K24,N24,P24),"자기 통제력",IF(G24=MAX(G24,Q24,K24,N24,P24),"경기긴장도",IF(K24=MAX(G24,Q24,K24,N24,P24),"경기 준비 능력","실수 후 회복력"))))</f>
        <v>사회적 도움 활용</v>
      </c>
    </row>
    <row r="25" customFormat="false" ht="17.15" hidden="false" customHeight="false" outlineLevel="0" collapsed="false">
      <c r="A25" s="13" t="s">
        <v>223</v>
      </c>
      <c r="B25" s="13" t="s">
        <v>187</v>
      </c>
      <c r="C25" s="13" t="s">
        <v>216</v>
      </c>
      <c r="D25" s="14" t="n">
        <v>46228</v>
      </c>
      <c r="E25" s="41" t="s">
        <v>195</v>
      </c>
      <c r="F25" s="42" t="n">
        <v>4.2</v>
      </c>
      <c r="G25" s="42" t="n">
        <v>3.8</v>
      </c>
      <c r="H25" s="42" t="n">
        <v>3.5</v>
      </c>
      <c r="I25" s="42" t="n">
        <v>4.4</v>
      </c>
      <c r="J25" s="42" t="n">
        <v>3.5</v>
      </c>
      <c r="K25" s="42" t="n">
        <v>5</v>
      </c>
      <c r="L25" s="42" t="n">
        <v>4.8</v>
      </c>
      <c r="M25" s="42" t="n">
        <v>5.1</v>
      </c>
      <c r="N25" s="42" t="n">
        <v>4.6</v>
      </c>
      <c r="O25" s="42" t="n">
        <v>4.3</v>
      </c>
      <c r="P25" s="42" t="n">
        <v>3.3</v>
      </c>
      <c r="Q25" s="42" t="n">
        <v>5.2</v>
      </c>
      <c r="R25" s="42" t="n">
        <v>5</v>
      </c>
      <c r="S25" s="37" t="n">
        <f aca="false">AVERAGE(G25:J25)</f>
        <v>3.8</v>
      </c>
      <c r="T25" s="37" t="n">
        <f aca="false">AVERAGE(K25:M25)</f>
        <v>4.96666666666667</v>
      </c>
      <c r="U25" s="37" t="n">
        <f aca="false">AVERAGE(N25:O25)</f>
        <v>4.45</v>
      </c>
      <c r="V25" s="23" t="str">
        <f aca="false">IF(S25&gt;='판정 기준'!$B$3,"H","L")&amp;IF(T25&gt;='판정 기준'!$B$3,"H","L")&amp;IF(U25&gt;='판정 기준'!$B$3,"H","L")</f>
        <v>LHL</v>
      </c>
      <c r="W25" s="36" t="str">
        <f aca="false">INDEX('포지션 정의'!$A$2:$A$9,MATCH(V25,'포지션 정의'!$D$2:$D$9,0))</f>
        <v>A</v>
      </c>
      <c r="X25" s="36" t="str">
        <f aca="false">INDEX('포지션 정의'!$B$2:$B$9,MATCH(V25,'포지션 정의'!$D$2:$D$9,0))</f>
        <v>섬세한 준비형</v>
      </c>
      <c r="Y25" s="43" t="str">
        <f aca="false">IF(AJ25="","가장 높은 지표: "&amp;AP25,LEFT(AJ25,LEN(AJ25)-2))</f>
        <v>사회적 도움 활용, 경기 준비 능력</v>
      </c>
      <c r="Z25" s="43" t="str">
        <f aca="false">IF(MAX(AK25:AO25)=0,"심화: "&amp;IF(N25=MIN(G25,Q25,K25,N25,P25),"실수 후 회복력",IF(K25=MIN(G25,Q25,K25,N25,P25),"경기 준비 능력",IF(G25=MIN(G25,Q25,K25,N25,P25),"경기긴장도",IF(P25=MIN(G25,Q25,K25,N25,P25),"자기 통제력","사회적 도움 활용")))),IF(MAX(AK25:AO25)&gt;='판정 기준'!$B$8-'판정 기준'!$B$4,IF(AN25=MAX(AK25:AO25),"실수 후 회복력",IF(AM25=MAX(AK25:AO25),"경기 준비 능력",IF(AK25=MAX(AK25:AO25),"경기긴장도",IF(AO25=MAX(AK25:AO25),"자기 통제력","사회적 도움 활용")))),IF(AN25&gt;0,"실수 후 회복력",IF(AM25&gt;0,"경기 준비 능력",IF(AK25&gt;0,"경기긴장도",IF(AO25&gt;0,"자기 통제력","사회적 도움 활용"))))))</f>
        <v>실수 후 회복력</v>
      </c>
      <c r="AA25" s="43" t="str">
        <f aca="false">INDEX('포지션 정의'!$L$2:$L$9,MATCH(V25,'포지션 정의'!$D$2:$D$9,0))</f>
        <v>로베르트 레반도프스키 · 제임스 밀너 · 마르틴 외데고르</v>
      </c>
      <c r="AB25" s="24" t="n">
        <f aca="false">ROUND(100*(1-SQRT(((S25-'포지션 정의'!$N$2)^2+(T25-'포지션 정의'!$O$2)^2+(U25-'포지션 정의'!$P$2)^2)/3)/'판정 기준'!$B$7),0)</f>
        <v>92</v>
      </c>
      <c r="AC25" s="24" t="n">
        <f aca="false">ROUND(100*(1-SQRT(((S25-'포지션 정의'!$N$3)^2+(T25-'포지션 정의'!$O$3)^2+(U25-'포지션 정의'!$P$3)^2)/3)/'판정 기준'!$B$7),0)</f>
        <v>82</v>
      </c>
      <c r="AD25" s="24" t="n">
        <f aca="false">ROUND(100*(1-SQRT(((S25-'포지션 정의'!$N$4)^2+(T25-'포지션 정의'!$O$4)^2+(U25-'포지션 정의'!$P$4)^2)/3)/'판정 기준'!$B$7),0)</f>
        <v>78</v>
      </c>
      <c r="AE25" s="24" t="n">
        <f aca="false">ROUND(100*(1-SQRT(((S25-'포지션 정의'!$N$5)^2+(T25-'포지션 정의'!$O$5)^2+(U25-'포지션 정의'!$P$5)^2)/3)/'판정 기준'!$B$7),0)</f>
        <v>77</v>
      </c>
      <c r="AF25" s="24" t="n">
        <f aca="false">ROUND(100*(1-SQRT(((S25-'포지션 정의'!$N$6)^2+(T25-'포지션 정의'!$O$6)^2+(U25-'포지션 정의'!$P$6)^2)/3)/'판정 기준'!$B$7),0)</f>
        <v>84</v>
      </c>
      <c r="AG25" s="24" t="n">
        <f aca="false">ROUND(100*(1-SQRT(((S25-'포지션 정의'!$N$7)^2+(T25-'포지션 정의'!$O$7)^2+(U25-'포지션 정의'!$P$7)^2)/3)/'판정 기준'!$B$7),0)</f>
        <v>91</v>
      </c>
      <c r="AH25" s="24" t="n">
        <f aca="false">ROUND(100*(1-SQRT(((S25-'포지션 정의'!$N$8)^2+(T25-'포지션 정의'!$O$8)^2+(U25-'포지션 정의'!$P$8)^2)/3)/'판정 기준'!$B$7),0)</f>
        <v>85</v>
      </c>
      <c r="AI25" s="24" t="n">
        <f aca="false">ROUND(100*(1-SQRT(((S25-'포지션 정의'!$N$9)^2+(T25-'포지션 정의'!$O$9)^2+(U25-'포지션 정의'!$P$9)^2)/3)/'판정 기준'!$B$7),0)</f>
        <v>81</v>
      </c>
      <c r="AJ25" s="23" t="str">
        <f aca="false">IF(G25&gt;='판정 기준'!$B$8,"경기긴장도, ","")&amp;IF(Q25&gt;='판정 기준'!$B$8,"사회적 도움 활용, ","")&amp;IF(K25&gt;='판정 기준'!$B$8,"경기 준비 능력, ","")&amp;IF(N25&gt;='판정 기준'!$B$8,"실수 후 회복력, ","")&amp;IF(P25&gt;='판정 기준'!$B$8,"자기 통제력, ","")</f>
        <v>사회적 도움 활용, 경기 준비 능력, </v>
      </c>
      <c r="AK25" s="23" t="n">
        <f aca="false">IF(AND(G25&lt;'판정 기준'!$B$8,OR(AJ25&lt;&gt;"",AP25&lt;&gt;"경기긴장도")),G25,0)</f>
        <v>3.8</v>
      </c>
      <c r="AL25" s="23" t="n">
        <f aca="false">IF(AND(Q25&lt;'판정 기준'!$B$8,OR(AJ25&lt;&gt;"",AP25&lt;&gt;"사회적 도움 활용")),Q25,0)</f>
        <v>0</v>
      </c>
      <c r="AM25" s="23" t="n">
        <f aca="false">IF(AND(K25&lt;'판정 기준'!$B$8,OR(AJ25&lt;&gt;"",AP25&lt;&gt;"경기 준비 능력")),K25,0)</f>
        <v>0</v>
      </c>
      <c r="AN25" s="23" t="n">
        <f aca="false">IF(AND(N25&lt;'판정 기준'!$B$8,OR(AJ25&lt;&gt;"",AP25&lt;&gt;"실수 후 회복력")),N25,0)</f>
        <v>4.6</v>
      </c>
      <c r="AO25" s="23" t="n">
        <f aca="false">IF(AND(P25&lt;'판정 기준'!$B$8,OR(AJ25&lt;&gt;"",AP25&lt;&gt;"자기 통제력")),P25,0)</f>
        <v>3.3</v>
      </c>
      <c r="AP25" s="23" t="str">
        <f aca="false">IF(Q25=MAX(G25,Q25,K25,N25,P25),"사회적 도움 활용",IF(P25=MAX(G25,Q25,K25,N25,P25),"자기 통제력",IF(G25=MAX(G25,Q25,K25,N25,P25),"경기긴장도",IF(K25=MAX(G25,Q25,K25,N25,P25),"경기 준비 능력","실수 후 회복력"))))</f>
        <v>사회적 도움 활용</v>
      </c>
    </row>
    <row r="26" customFormat="false" ht="17.15" hidden="false" customHeight="false" outlineLevel="0" collapsed="false">
      <c r="A26" s="13" t="s">
        <v>224</v>
      </c>
      <c r="B26" s="13" t="s">
        <v>187</v>
      </c>
      <c r="C26" s="13" t="s">
        <v>216</v>
      </c>
      <c r="D26" s="14" t="n">
        <v>46228</v>
      </c>
      <c r="E26" s="41" t="s">
        <v>198</v>
      </c>
      <c r="F26" s="42" t="n">
        <v>5.8</v>
      </c>
      <c r="G26" s="42" t="n">
        <v>5.8</v>
      </c>
      <c r="H26" s="42" t="n">
        <v>6</v>
      </c>
      <c r="I26" s="42" t="n">
        <v>6</v>
      </c>
      <c r="J26" s="42" t="n">
        <v>5.7</v>
      </c>
      <c r="K26" s="42" t="n">
        <v>5.6</v>
      </c>
      <c r="L26" s="42" t="n">
        <v>5.8</v>
      </c>
      <c r="M26" s="42" t="n">
        <v>5.4</v>
      </c>
      <c r="N26" s="42" t="n">
        <v>6</v>
      </c>
      <c r="O26" s="42" t="n">
        <v>5.5</v>
      </c>
      <c r="P26" s="42" t="n">
        <v>5.8</v>
      </c>
      <c r="Q26" s="42" t="n">
        <v>6</v>
      </c>
      <c r="R26" s="42" t="n">
        <v>6</v>
      </c>
      <c r="S26" s="37" t="n">
        <f aca="false">AVERAGE(G26:J26)</f>
        <v>5.875</v>
      </c>
      <c r="T26" s="37" t="n">
        <f aca="false">AVERAGE(K26:M26)</f>
        <v>5.6</v>
      </c>
      <c r="U26" s="37" t="n">
        <f aca="false">AVERAGE(N26:O26)</f>
        <v>5.75</v>
      </c>
      <c r="V26" s="23" t="str">
        <f aca="false">IF(S26&gt;='판정 기준'!$B$3,"H","L")&amp;IF(T26&gt;='판정 기준'!$B$3,"H","L")&amp;IF(U26&gt;='판정 기준'!$B$3,"H","L")</f>
        <v>HHH</v>
      </c>
      <c r="W26" s="36" t="str">
        <f aca="false">INDEX('포지션 정의'!$A$2:$A$9,MATCH(V26,'포지션 정의'!$D$2:$D$9,0))</f>
        <v>H</v>
      </c>
      <c r="X26" s="36" t="str">
        <f aca="false">INDEX('포지션 정의'!$B$2:$B$9,MATCH(V26,'포지션 정의'!$D$2:$D$9,0))</f>
        <v>올라운드 밸런스형</v>
      </c>
      <c r="Y26" s="43" t="str">
        <f aca="false">IF(AJ26="","가장 높은 지표: "&amp;AP26,LEFT(AJ26,LEN(AJ26)-2))</f>
        <v>경기긴장도, 사회적 도움 활용, 경기 준비 능력, 실수 후 회복력, 자기 통제력</v>
      </c>
      <c r="Z26" s="43" t="str">
        <f aca="false">IF(MAX(AK26:AO26)=0,"심화: "&amp;IF(N26=MIN(G26,Q26,K26,N26,P26),"실수 후 회복력",IF(K26=MIN(G26,Q26,K26,N26,P26),"경기 준비 능력",IF(G26=MIN(G26,Q26,K26,N26,P26),"경기긴장도",IF(P26=MIN(G26,Q26,K26,N26,P26),"자기 통제력","사회적 도움 활용")))),IF(MAX(AK26:AO26)&gt;='판정 기준'!$B$8-'판정 기준'!$B$4,IF(AN26=MAX(AK26:AO26),"실수 후 회복력",IF(AM26=MAX(AK26:AO26),"경기 준비 능력",IF(AK26=MAX(AK26:AO26),"경기긴장도",IF(AO26=MAX(AK26:AO26),"자기 통제력","사회적 도움 활용")))),IF(AN26&gt;0,"실수 후 회복력",IF(AM26&gt;0,"경기 준비 능력",IF(AK26&gt;0,"경기긴장도",IF(AO26&gt;0,"자기 통제력","사회적 도움 활용"))))))</f>
        <v>심화: 경기 준비 능력</v>
      </c>
      <c r="AA26" s="43" t="str">
        <f aca="false">INDEX('포지션 정의'!$L$2:$L$9,MATCH(V26,'포지션 정의'!$D$2:$D$9,0))</f>
        <v>크리스티아누 호날두 · 루카 모드리치 · 버질 반 다이크</v>
      </c>
      <c r="AB26" s="24" t="n">
        <f aca="false">ROUND(100*(1-SQRT(((S26-'포지션 정의'!$N$2)^2+(T26-'포지션 정의'!$O$2)^2+(U26-'포지션 정의'!$P$2)^2)/3)/'판정 기준'!$B$7),0)</f>
        <v>67</v>
      </c>
      <c r="AC26" s="24" t="n">
        <f aca="false">ROUND(100*(1-SQRT(((S26-'포지션 정의'!$N$3)^2+(T26-'포지션 정의'!$O$3)^2+(U26-'포지션 정의'!$P$3)^2)/3)/'판정 기준'!$B$7),0)</f>
        <v>76</v>
      </c>
      <c r="AD26" s="24" t="n">
        <f aca="false">ROUND(100*(1-SQRT(((S26-'포지션 정의'!$N$4)^2+(T26-'포지션 정의'!$O$4)^2+(U26-'포지션 정의'!$P$4)^2)/3)/'판정 기준'!$B$7),0)</f>
        <v>68</v>
      </c>
      <c r="AE26" s="24" t="n">
        <f aca="false">ROUND(100*(1-SQRT(((S26-'포지션 정의'!$N$5)^2+(T26-'포지션 정의'!$O$5)^2+(U26-'포지션 정의'!$P$5)^2)/3)/'판정 기준'!$B$7),0)</f>
        <v>77</v>
      </c>
      <c r="AF26" s="24" t="n">
        <f aca="false">ROUND(100*(1-SQRT(((S26-'포지션 정의'!$N$6)^2+(T26-'포지션 정의'!$O$6)^2+(U26-'포지션 정의'!$P$6)^2)/3)/'판정 기준'!$B$7),0)</f>
        <v>68</v>
      </c>
      <c r="AG26" s="24" t="n">
        <f aca="false">ROUND(100*(1-SQRT(((S26-'포지션 정의'!$N$7)^2+(T26-'포지션 정의'!$O$7)^2+(U26-'포지션 정의'!$P$7)^2)/3)/'판정 기준'!$B$7),0)</f>
        <v>75</v>
      </c>
      <c r="AH26" s="24" t="n">
        <f aca="false">ROUND(100*(1-SQRT(((S26-'포지션 정의'!$N$8)^2+(T26-'포지션 정의'!$O$8)^2+(U26-'포지션 정의'!$P$8)^2)/3)/'판정 기준'!$B$7),0)</f>
        <v>61</v>
      </c>
      <c r="AI26" s="24" t="n">
        <f aca="false">ROUND(100*(1-SQRT(((S26-'포지션 정의'!$N$9)^2+(T26-'포지션 정의'!$O$9)^2+(U26-'포지션 정의'!$P$9)^2)/3)/'판정 기준'!$B$7),0)</f>
        <v>89</v>
      </c>
      <c r="AJ26" s="23" t="str">
        <f aca="false">IF(G26&gt;='판정 기준'!$B$8,"경기긴장도, ","")&amp;IF(Q26&gt;='판정 기준'!$B$8,"사회적 도움 활용, ","")&amp;IF(K26&gt;='판정 기준'!$B$8,"경기 준비 능력, ","")&amp;IF(N26&gt;='판정 기준'!$B$8,"실수 후 회복력, ","")&amp;IF(P26&gt;='판정 기준'!$B$8,"자기 통제력, ","")</f>
        <v>경기긴장도, 사회적 도움 활용, 경기 준비 능력, 실수 후 회복력, 자기 통제력, </v>
      </c>
      <c r="AK26" s="23" t="n">
        <f aca="false">IF(AND(G26&lt;'판정 기준'!$B$8,OR(AJ26&lt;&gt;"",AP26&lt;&gt;"경기긴장도")),G26,0)</f>
        <v>0</v>
      </c>
      <c r="AL26" s="23" t="n">
        <f aca="false">IF(AND(Q26&lt;'판정 기준'!$B$8,OR(AJ26&lt;&gt;"",AP26&lt;&gt;"사회적 도움 활용")),Q26,0)</f>
        <v>0</v>
      </c>
      <c r="AM26" s="23" t="n">
        <f aca="false">IF(AND(K26&lt;'판정 기준'!$B$8,OR(AJ26&lt;&gt;"",AP26&lt;&gt;"경기 준비 능력")),K26,0)</f>
        <v>0</v>
      </c>
      <c r="AN26" s="23" t="n">
        <f aca="false">IF(AND(N26&lt;'판정 기준'!$B$8,OR(AJ26&lt;&gt;"",AP26&lt;&gt;"실수 후 회복력")),N26,0)</f>
        <v>0</v>
      </c>
      <c r="AO26" s="23" t="n">
        <f aca="false">IF(AND(P26&lt;'판정 기준'!$B$8,OR(AJ26&lt;&gt;"",AP26&lt;&gt;"자기 통제력")),P26,0)</f>
        <v>0</v>
      </c>
      <c r="AP26" s="23" t="str">
        <f aca="false">IF(Q26=MAX(G26,Q26,K26,N26,P26),"사회적 도움 활용",IF(P26=MAX(G26,Q26,K26,N26,P26),"자기 통제력",IF(G26=MAX(G26,Q26,K26,N26,P26),"경기긴장도",IF(K26=MAX(G26,Q26,K26,N26,P26),"경기 준비 능력","실수 후 회복력"))))</f>
        <v>사회적 도움 활용</v>
      </c>
    </row>
    <row r="27" customFormat="false" ht="17.15" hidden="false" customHeight="false" outlineLevel="0" collapsed="false">
      <c r="A27" s="13" t="s">
        <v>225</v>
      </c>
      <c r="B27" s="13" t="s">
        <v>187</v>
      </c>
      <c r="C27" s="13" t="s">
        <v>226</v>
      </c>
      <c r="D27" s="14" t="n">
        <v>46228</v>
      </c>
      <c r="E27" s="41" t="s">
        <v>195</v>
      </c>
      <c r="F27" s="42" t="n">
        <v>4.5</v>
      </c>
      <c r="G27" s="42" t="n">
        <v>4</v>
      </c>
      <c r="H27" s="42" t="n">
        <v>5.2</v>
      </c>
      <c r="I27" s="42" t="n">
        <v>3.6</v>
      </c>
      <c r="J27" s="42" t="n">
        <v>4.5</v>
      </c>
      <c r="K27" s="42" t="n">
        <v>5</v>
      </c>
      <c r="L27" s="42" t="n">
        <v>4.7</v>
      </c>
      <c r="M27" s="42" t="n">
        <v>5.3</v>
      </c>
      <c r="N27" s="42" t="n">
        <v>4.4</v>
      </c>
      <c r="O27" s="42" t="n">
        <v>5.2</v>
      </c>
      <c r="P27" s="42" t="n">
        <v>4.8</v>
      </c>
      <c r="Q27" s="42" t="n">
        <v>3.6</v>
      </c>
      <c r="R27" s="42" t="n">
        <v>5.3</v>
      </c>
      <c r="S27" s="37" t="n">
        <f aca="false">AVERAGE(G27:J27)</f>
        <v>4.325</v>
      </c>
      <c r="T27" s="37" t="n">
        <f aca="false">AVERAGE(K27:M27)</f>
        <v>5</v>
      </c>
      <c r="U27" s="37" t="n">
        <f aca="false">AVERAGE(N27:O27)</f>
        <v>4.8</v>
      </c>
      <c r="V27" s="23" t="str">
        <f aca="false">IF(S27&gt;='판정 기준'!$B$3,"H","L")&amp;IF(T27&gt;='판정 기준'!$B$3,"H","L")&amp;IF(U27&gt;='판정 기준'!$B$3,"H","L")</f>
        <v>LHH</v>
      </c>
      <c r="W27" s="36" t="str">
        <f aca="false">INDEX('포지션 정의'!$A$2:$A$9,MATCH(V27,'포지션 정의'!$D$2:$D$9,0))</f>
        <v>F</v>
      </c>
      <c r="X27" s="36" t="str">
        <f aca="false">INDEX('포지션 정의'!$B$2:$B$9,MATCH(V27,'포지션 정의'!$D$2:$D$9,0))</f>
        <v>성실한 도전자형</v>
      </c>
      <c r="Y27" s="43" t="str">
        <f aca="false">IF(AJ27="","가장 높은 지표: "&amp;AP27,LEFT(AJ27,LEN(AJ27)-2))</f>
        <v>경기 준비 능력, 자기 통제력</v>
      </c>
      <c r="Z27" s="43" t="str">
        <f aca="false">IF(MAX(AK27:AO27)=0,"심화: "&amp;IF(N27=MIN(G27,Q27,K27,N27,P27),"실수 후 회복력",IF(K27=MIN(G27,Q27,K27,N27,P27),"경기 준비 능력",IF(G27=MIN(G27,Q27,K27,N27,P27),"경기긴장도",IF(P27=MIN(G27,Q27,K27,N27,P27),"자기 통제력","사회적 도움 활용")))),IF(MAX(AK27:AO27)&gt;='판정 기준'!$B$8-'판정 기준'!$B$4,IF(AN27=MAX(AK27:AO27),"실수 후 회복력",IF(AM27=MAX(AK27:AO27),"경기 준비 능력",IF(AK27=MAX(AK27:AO27),"경기긴장도",IF(AO27=MAX(AK27:AO27),"자기 통제력","사회적 도움 활용")))),IF(AN27&gt;0,"실수 후 회복력",IF(AM27&gt;0,"경기 준비 능력",IF(AK27&gt;0,"경기긴장도",IF(AO27&gt;0,"자기 통제력","사회적 도움 활용"))))))</f>
        <v>실수 후 회복력</v>
      </c>
      <c r="AA27" s="43" t="str">
        <f aca="false">INDEX('포지션 정의'!$L$2:$L$9,MATCH(V27,'포지션 정의'!$D$2:$D$9,0))</f>
        <v>제이미 바디 · 은골로 캉테 · 박지성</v>
      </c>
      <c r="AB27" s="24" t="n">
        <f aca="false">ROUND(100*(1-SQRT(((S27-'포지션 정의'!$N$2)^2+(T27-'포지션 정의'!$O$2)^2+(U27-'포지션 정의'!$P$2)^2)/3)/'판정 기준'!$B$7),0)</f>
        <v>87</v>
      </c>
      <c r="AC27" s="24" t="n">
        <f aca="false">ROUND(100*(1-SQRT(((S27-'포지션 정의'!$N$3)^2+(T27-'포지션 정의'!$O$3)^2+(U27-'포지션 정의'!$P$3)^2)/3)/'판정 기준'!$B$7),0)</f>
        <v>84</v>
      </c>
      <c r="AD27" s="24" t="n">
        <f aca="false">ROUND(100*(1-SQRT(((S27-'포지션 정의'!$N$4)^2+(T27-'포지션 정의'!$O$4)^2+(U27-'포지션 정의'!$P$4)^2)/3)/'판정 기준'!$B$7),0)</f>
        <v>79</v>
      </c>
      <c r="AE27" s="24" t="n">
        <f aca="false">ROUND(100*(1-SQRT(((S27-'포지션 정의'!$N$5)^2+(T27-'포지션 정의'!$O$5)^2+(U27-'포지션 정의'!$P$5)^2)/3)/'판정 기준'!$B$7),0)</f>
        <v>82</v>
      </c>
      <c r="AF27" s="24" t="n">
        <f aca="false">ROUND(100*(1-SQRT(((S27-'포지션 정의'!$N$6)^2+(T27-'포지션 정의'!$O$6)^2+(U27-'포지션 정의'!$P$6)^2)/3)/'판정 기준'!$B$7),0)</f>
        <v>84</v>
      </c>
      <c r="AG27" s="24" t="n">
        <f aca="false">ROUND(100*(1-SQRT(((S27-'포지션 정의'!$N$7)^2+(T27-'포지션 정의'!$O$7)^2+(U27-'포지션 정의'!$P$7)^2)/3)/'판정 기준'!$B$7),0)</f>
        <v>92</v>
      </c>
      <c r="AH27" s="24" t="n">
        <f aca="false">ROUND(100*(1-SQRT(((S27-'포지션 정의'!$N$8)^2+(T27-'포지션 정의'!$O$8)^2+(U27-'포지션 정의'!$P$8)^2)/3)/'판정 기준'!$B$7),0)</f>
        <v>81</v>
      </c>
      <c r="AI27" s="24" t="n">
        <f aca="false">ROUND(100*(1-SQRT(((S27-'포지션 정의'!$N$9)^2+(T27-'포지션 정의'!$O$9)^2+(U27-'포지션 정의'!$P$9)^2)/3)/'판정 기준'!$B$7),0)</f>
        <v>89</v>
      </c>
      <c r="AJ27" s="23" t="str">
        <f aca="false">IF(G27&gt;='판정 기준'!$B$8,"경기긴장도, ","")&amp;IF(Q27&gt;='판정 기준'!$B$8,"사회적 도움 활용, ","")&amp;IF(K27&gt;='판정 기준'!$B$8,"경기 준비 능력, ","")&amp;IF(N27&gt;='판정 기준'!$B$8,"실수 후 회복력, ","")&amp;IF(P27&gt;='판정 기준'!$B$8,"자기 통제력, ","")</f>
        <v>경기 준비 능력, 자기 통제력, </v>
      </c>
      <c r="AK27" s="23" t="n">
        <f aca="false">IF(AND(G27&lt;'판정 기준'!$B$8,OR(AJ27&lt;&gt;"",AP27&lt;&gt;"경기긴장도")),G27,0)</f>
        <v>4</v>
      </c>
      <c r="AL27" s="23" t="n">
        <f aca="false">IF(AND(Q27&lt;'판정 기준'!$B$8,OR(AJ27&lt;&gt;"",AP27&lt;&gt;"사회적 도움 활용")),Q27,0)</f>
        <v>3.6</v>
      </c>
      <c r="AM27" s="23" t="n">
        <f aca="false">IF(AND(K27&lt;'판정 기준'!$B$8,OR(AJ27&lt;&gt;"",AP27&lt;&gt;"경기 준비 능력")),K27,0)</f>
        <v>0</v>
      </c>
      <c r="AN27" s="23" t="n">
        <f aca="false">IF(AND(N27&lt;'판정 기준'!$B$8,OR(AJ27&lt;&gt;"",AP27&lt;&gt;"실수 후 회복력")),N27,0)</f>
        <v>4.4</v>
      </c>
      <c r="AO27" s="23" t="n">
        <f aca="false">IF(AND(P27&lt;'판정 기준'!$B$8,OR(AJ27&lt;&gt;"",AP27&lt;&gt;"자기 통제력")),P27,0)</f>
        <v>0</v>
      </c>
      <c r="AP27" s="23" t="str">
        <f aca="false">IF(Q27=MAX(G27,Q27,K27,N27,P27),"사회적 도움 활용",IF(P27=MAX(G27,Q27,K27,N27,P27),"자기 통제력",IF(G27=MAX(G27,Q27,K27,N27,P27),"경기긴장도",IF(K27=MAX(G27,Q27,K27,N27,P27),"경기 준비 능력","실수 후 회복력"))))</f>
        <v>경기 준비 능력</v>
      </c>
    </row>
    <row r="28" customFormat="false" ht="17.15" hidden="false" customHeight="false" outlineLevel="0" collapsed="false">
      <c r="A28" s="13" t="s">
        <v>227</v>
      </c>
      <c r="B28" s="13" t="s">
        <v>187</v>
      </c>
      <c r="C28" s="13" t="s">
        <v>228</v>
      </c>
      <c r="D28" s="14" t="n">
        <v>46226</v>
      </c>
      <c r="E28" s="41" t="s">
        <v>195</v>
      </c>
      <c r="F28" s="42" t="n">
        <v>5.6</v>
      </c>
      <c r="G28" s="42" t="n">
        <v>5.8</v>
      </c>
      <c r="H28" s="42" t="n">
        <v>6</v>
      </c>
      <c r="I28" s="42" t="n">
        <v>6</v>
      </c>
      <c r="J28" s="42" t="n">
        <v>5.3</v>
      </c>
      <c r="K28" s="42" t="n">
        <v>4.8</v>
      </c>
      <c r="L28" s="42" t="n">
        <v>5</v>
      </c>
      <c r="M28" s="42" t="n">
        <v>4.7</v>
      </c>
      <c r="N28" s="42" t="n">
        <v>6</v>
      </c>
      <c r="O28" s="42" t="n">
        <v>6</v>
      </c>
      <c r="P28" s="42" t="n">
        <v>5.5</v>
      </c>
      <c r="Q28" s="42" t="n">
        <v>6</v>
      </c>
      <c r="R28" s="42" t="n">
        <v>6</v>
      </c>
      <c r="S28" s="37" t="n">
        <f aca="false">AVERAGE(G28:J28)</f>
        <v>5.775</v>
      </c>
      <c r="T28" s="37" t="n">
        <f aca="false">AVERAGE(K28:M28)</f>
        <v>4.83333333333333</v>
      </c>
      <c r="U28" s="37" t="n">
        <f aca="false">AVERAGE(N28:O28)</f>
        <v>6</v>
      </c>
      <c r="V28" s="23" t="str">
        <f aca="false">IF(S28&gt;='판정 기준'!$B$3,"H","L")&amp;IF(T28&gt;='판정 기준'!$B$3,"H","L")&amp;IF(U28&gt;='판정 기준'!$B$3,"H","L")</f>
        <v>HHH</v>
      </c>
      <c r="W28" s="36" t="str">
        <f aca="false">INDEX('포지션 정의'!$A$2:$A$9,MATCH(V28,'포지션 정의'!$D$2:$D$9,0))</f>
        <v>H</v>
      </c>
      <c r="X28" s="36" t="str">
        <f aca="false">INDEX('포지션 정의'!$B$2:$B$9,MATCH(V28,'포지션 정의'!$D$2:$D$9,0))</f>
        <v>올라운드 밸런스형</v>
      </c>
      <c r="Y28" s="43" t="str">
        <f aca="false">IF(AJ28="","가장 높은 지표: "&amp;AP28,LEFT(AJ28,LEN(AJ28)-2))</f>
        <v>경기긴장도, 사회적 도움 활용, 경기 준비 능력, 실수 후 회복력, 자기 통제력</v>
      </c>
      <c r="Z28" s="43" t="str">
        <f aca="false">IF(MAX(AK28:AO28)=0,"심화: "&amp;IF(N28=MIN(G28,Q28,K28,N28,P28),"실수 후 회복력",IF(K28=MIN(G28,Q28,K28,N28,P28),"경기 준비 능력",IF(G28=MIN(G28,Q28,K28,N28,P28),"경기긴장도",IF(P28=MIN(G28,Q28,K28,N28,P28),"자기 통제력","사회적 도움 활용")))),IF(MAX(AK28:AO28)&gt;='판정 기준'!$B$8-'판정 기준'!$B$4,IF(AN28=MAX(AK28:AO28),"실수 후 회복력",IF(AM28=MAX(AK28:AO28),"경기 준비 능력",IF(AK28=MAX(AK28:AO28),"경기긴장도",IF(AO28=MAX(AK28:AO28),"자기 통제력","사회적 도움 활용")))),IF(AN28&gt;0,"실수 후 회복력",IF(AM28&gt;0,"경기 준비 능력",IF(AK28&gt;0,"경기긴장도",IF(AO28&gt;0,"자기 통제력","사회적 도움 활용"))))))</f>
        <v>심화: 경기 준비 능력</v>
      </c>
      <c r="AA28" s="43" t="str">
        <f aca="false">INDEX('포지션 정의'!$L$2:$L$9,MATCH(V28,'포지션 정의'!$D$2:$D$9,0))</f>
        <v>크리스티아누 호날두 · 루카 모드리치 · 버질 반 다이크</v>
      </c>
      <c r="AB28" s="24" t="n">
        <f aca="false">ROUND(100*(1-SQRT(((S28-'포지션 정의'!$N$2)^2+(T28-'포지션 정의'!$O$2)^2+(U28-'포지션 정의'!$P$2)^2)/3)/'판정 기준'!$B$7),0)</f>
        <v>66</v>
      </c>
      <c r="AC28" s="24" t="n">
        <f aca="false">ROUND(100*(1-SQRT(((S28-'포지션 정의'!$N$3)^2+(T28-'포지션 정의'!$O$3)^2+(U28-'포지션 정의'!$P$3)^2)/3)/'판정 기준'!$B$7),0)</f>
        <v>73</v>
      </c>
      <c r="AD28" s="24" t="n">
        <f aca="false">ROUND(100*(1-SQRT(((S28-'포지션 정의'!$N$4)^2+(T28-'포지션 정의'!$O$4)^2+(U28-'포지션 정의'!$P$4)^2)/3)/'판정 기준'!$B$7),0)</f>
        <v>71</v>
      </c>
      <c r="AE28" s="24" t="n">
        <f aca="false">ROUND(100*(1-SQRT(((S28-'포지션 정의'!$N$5)^2+(T28-'포지션 정의'!$O$5)^2+(U28-'포지션 정의'!$P$5)^2)/3)/'판정 기준'!$B$7),0)</f>
        <v>84</v>
      </c>
      <c r="AF28" s="24" t="n">
        <f aca="false">ROUND(100*(1-SQRT(((S28-'포지션 정의'!$N$6)^2+(T28-'포지션 정의'!$O$6)^2+(U28-'포지션 정의'!$P$6)^2)/3)/'판정 기준'!$B$7),0)</f>
        <v>73</v>
      </c>
      <c r="AG28" s="24" t="n">
        <f aca="false">ROUND(100*(1-SQRT(((S28-'포지션 정의'!$N$7)^2+(T28-'포지션 정의'!$O$7)^2+(U28-'포지션 정의'!$P$7)^2)/3)/'판정 기준'!$B$7),0)</f>
        <v>75</v>
      </c>
      <c r="AH28" s="24" t="n">
        <f aca="false">ROUND(100*(1-SQRT(((S28-'포지션 정의'!$N$8)^2+(T28-'포지션 정의'!$O$8)^2+(U28-'포지션 정의'!$P$8)^2)/3)/'판정 기준'!$B$7),0)</f>
        <v>64</v>
      </c>
      <c r="AI28" s="24" t="n">
        <f aca="false">ROUND(100*(1-SQRT(((S28-'포지션 정의'!$N$9)^2+(T28-'포지션 정의'!$O$9)^2+(U28-'포지션 정의'!$P$9)^2)/3)/'판정 기준'!$B$7),0)</f>
        <v>88</v>
      </c>
      <c r="AJ28" s="23" t="str">
        <f aca="false">IF(G28&gt;='판정 기준'!$B$8,"경기긴장도, ","")&amp;IF(Q28&gt;='판정 기준'!$B$8,"사회적 도움 활용, ","")&amp;IF(K28&gt;='판정 기준'!$B$8,"경기 준비 능력, ","")&amp;IF(N28&gt;='판정 기준'!$B$8,"실수 후 회복력, ","")&amp;IF(P28&gt;='판정 기준'!$B$8,"자기 통제력, ","")</f>
        <v>경기긴장도, 사회적 도움 활용, 경기 준비 능력, 실수 후 회복력, 자기 통제력, </v>
      </c>
      <c r="AK28" s="23" t="n">
        <f aca="false">IF(AND(G28&lt;'판정 기준'!$B$8,OR(AJ28&lt;&gt;"",AP28&lt;&gt;"경기긴장도")),G28,0)</f>
        <v>0</v>
      </c>
      <c r="AL28" s="23" t="n">
        <f aca="false">IF(AND(Q28&lt;'판정 기준'!$B$8,OR(AJ28&lt;&gt;"",AP28&lt;&gt;"사회적 도움 활용")),Q28,0)</f>
        <v>0</v>
      </c>
      <c r="AM28" s="23" t="n">
        <f aca="false">IF(AND(K28&lt;'판정 기준'!$B$8,OR(AJ28&lt;&gt;"",AP28&lt;&gt;"경기 준비 능력")),K28,0)</f>
        <v>0</v>
      </c>
      <c r="AN28" s="23" t="n">
        <f aca="false">IF(AND(N28&lt;'판정 기준'!$B$8,OR(AJ28&lt;&gt;"",AP28&lt;&gt;"실수 후 회복력")),N28,0)</f>
        <v>0</v>
      </c>
      <c r="AO28" s="23" t="n">
        <f aca="false">IF(AND(P28&lt;'판정 기준'!$B$8,OR(AJ28&lt;&gt;"",AP28&lt;&gt;"자기 통제력")),P28,0)</f>
        <v>0</v>
      </c>
      <c r="AP28" s="23" t="str">
        <f aca="false">IF(Q28=MAX(G28,Q28,K28,N28,P28),"사회적 도움 활용",IF(P28=MAX(G28,Q28,K28,N28,P28),"자기 통제력",IF(G28=MAX(G28,Q28,K28,N28,P28),"경기긴장도",IF(K28=MAX(G28,Q28,K28,N28,P28),"경기 준비 능력","실수 후 회복력"))))</f>
        <v>사회적 도움 활용</v>
      </c>
    </row>
    <row r="29" customFormat="false" ht="17.15" hidden="false" customHeight="false" outlineLevel="0" collapsed="false">
      <c r="A29" s="13" t="s">
        <v>229</v>
      </c>
      <c r="B29" s="13" t="s">
        <v>187</v>
      </c>
      <c r="C29" s="13" t="s">
        <v>230</v>
      </c>
      <c r="D29" s="14" t="n">
        <v>46223</v>
      </c>
      <c r="E29" s="41" t="s">
        <v>189</v>
      </c>
      <c r="F29" s="42" t="n">
        <v>4.1</v>
      </c>
      <c r="G29" s="42" t="n">
        <v>4.3</v>
      </c>
      <c r="H29" s="42" t="n">
        <v>3.5</v>
      </c>
      <c r="I29" s="42" t="n">
        <v>5</v>
      </c>
      <c r="J29" s="42" t="n">
        <v>3.8</v>
      </c>
      <c r="K29" s="42" t="n">
        <v>3</v>
      </c>
      <c r="L29" s="42" t="n">
        <v>2</v>
      </c>
      <c r="M29" s="42" t="n">
        <v>3.9</v>
      </c>
      <c r="N29" s="42" t="n">
        <v>5.4</v>
      </c>
      <c r="O29" s="42" t="n">
        <v>5.3</v>
      </c>
      <c r="P29" s="42" t="n">
        <v>3.5</v>
      </c>
      <c r="Q29" s="42" t="n">
        <v>4</v>
      </c>
      <c r="R29" s="42" t="n">
        <v>5</v>
      </c>
      <c r="S29" s="37" t="n">
        <f aca="false">AVERAGE(G29:J29)</f>
        <v>4.15</v>
      </c>
      <c r="T29" s="37" t="n">
        <f aca="false">AVERAGE(K29:M29)</f>
        <v>2.96666666666667</v>
      </c>
      <c r="U29" s="37" t="n">
        <f aca="false">AVERAGE(N29:O29)</f>
        <v>5.35</v>
      </c>
      <c r="V29" s="23" t="str">
        <f aca="false">IF(S29&gt;='판정 기준'!$B$3,"H","L")&amp;IF(T29&gt;='판정 기준'!$B$3,"H","L")&amp;IF(U29&gt;='판정 기준'!$B$3,"H","L")</f>
        <v>LLH</v>
      </c>
      <c r="W29" s="36" t="str">
        <f aca="false">INDEX('포지션 정의'!$A$2:$A$9,MATCH(V29,'포지션 정의'!$D$2:$D$9,0))</f>
        <v>E</v>
      </c>
      <c r="X29" s="36" t="str">
        <f aca="false">INDEX('포지션 정의'!$B$2:$B$9,MATCH(V29,'포지션 정의'!$D$2:$D$9,0))</f>
        <v>오뚝이 회복형</v>
      </c>
      <c r="Y29" s="43" t="str">
        <f aca="false">IF(AJ29="","가장 높은 지표: "&amp;AP29,LEFT(AJ29,LEN(AJ29)-2))</f>
        <v>실수 후 회복력</v>
      </c>
      <c r="Z29" s="43" t="str">
        <f aca="false">IF(MAX(AK29:AO29)=0,"심화: "&amp;IF(N29=MIN(G29,Q29,K29,N29,P29),"실수 후 회복력",IF(K29=MIN(G29,Q29,K29,N29,P29),"경기 준비 능력",IF(G29=MIN(G29,Q29,K29,N29,P29),"경기긴장도",IF(P29=MIN(G29,Q29,K29,N29,P29),"자기 통제력","사회적 도움 활용")))),IF(MAX(AK29:AO29)&gt;='판정 기준'!$B$8-'판정 기준'!$B$4,IF(AN29=MAX(AK29:AO29),"실수 후 회복력",IF(AM29=MAX(AK29:AO29),"경기 준비 능력",IF(AK29=MAX(AK29:AO29),"경기긴장도",IF(AO29=MAX(AK29:AO29),"자기 통제력","사회적 도움 활용")))),IF(AN29&gt;0,"실수 후 회복력",IF(AM29&gt;0,"경기 준비 능력",IF(AK29&gt;0,"경기긴장도",IF(AO29&gt;0,"자기 통제력","사회적 도움 활용"))))))</f>
        <v>경기 준비 능력</v>
      </c>
      <c r="AA29" s="43" t="str">
        <f aca="false">INDEX('포지션 정의'!$L$2:$L$9,MATCH(V29,'포지션 정의'!$D$2:$D$9,0))</f>
        <v>올리비에 지루 · 디에고 포를란 · 라다멜 팔카오</v>
      </c>
      <c r="AB29" s="24" t="n">
        <f aca="false">ROUND(100*(1-SQRT(((S29-'포지션 정의'!$N$2)^2+(T29-'포지션 정의'!$O$2)^2+(U29-'포지션 정의'!$P$2)^2)/3)/'판정 기준'!$B$7),0)</f>
        <v>68</v>
      </c>
      <c r="AC29" s="24" t="n">
        <f aca="false">ROUND(100*(1-SQRT(((S29-'포지션 정의'!$N$3)^2+(T29-'포지션 정의'!$O$3)^2+(U29-'포지션 정의'!$P$3)^2)/3)/'판정 기준'!$B$7),0)</f>
        <v>66</v>
      </c>
      <c r="AD29" s="24" t="n">
        <f aca="false">ROUND(100*(1-SQRT(((S29-'포지션 정의'!$N$4)^2+(T29-'포지션 정의'!$O$4)^2+(U29-'포지션 정의'!$P$4)^2)/3)/'판정 기준'!$B$7),0)</f>
        <v>76</v>
      </c>
      <c r="AE29" s="24" t="n">
        <f aca="false">ROUND(100*(1-SQRT(((S29-'포지션 정의'!$N$5)^2+(T29-'포지션 정의'!$O$5)^2+(U29-'포지션 정의'!$P$5)^2)/3)/'판정 기준'!$B$7),0)</f>
        <v>84</v>
      </c>
      <c r="AF29" s="24" t="n">
        <f aca="false">ROUND(100*(1-SQRT(((S29-'포지션 정의'!$N$6)^2+(T29-'포지션 정의'!$O$6)^2+(U29-'포지션 정의'!$P$6)^2)/3)/'판정 기준'!$B$7),0)</f>
        <v>89</v>
      </c>
      <c r="AG29" s="24" t="n">
        <f aca="false">ROUND(100*(1-SQRT(((S29-'포지션 정의'!$N$7)^2+(T29-'포지션 정의'!$O$7)^2+(U29-'포지션 정의'!$P$7)^2)/3)/'판정 기준'!$B$7),0)</f>
        <v>74</v>
      </c>
      <c r="AH29" s="24" t="n">
        <f aca="false">ROUND(100*(1-SQRT(((S29-'포지션 정의'!$N$8)^2+(T29-'포지션 정의'!$O$8)^2+(U29-'포지션 정의'!$P$8)^2)/3)/'판정 기준'!$B$7),0)</f>
        <v>79</v>
      </c>
      <c r="AI29" s="24" t="n">
        <f aca="false">ROUND(100*(1-SQRT(((S29-'포지션 정의'!$N$9)^2+(T29-'포지션 정의'!$O$9)^2+(U29-'포지션 정의'!$P$9)^2)/3)/'판정 기준'!$B$7),0)</f>
        <v>71</v>
      </c>
      <c r="AJ29" s="23" t="str">
        <f aca="false">IF(G29&gt;='판정 기준'!$B$8,"경기긴장도, ","")&amp;IF(Q29&gt;='판정 기준'!$B$8,"사회적 도움 활용, ","")&amp;IF(K29&gt;='판정 기준'!$B$8,"경기 준비 능력, ","")&amp;IF(N29&gt;='판정 기준'!$B$8,"실수 후 회복력, ","")&amp;IF(P29&gt;='판정 기준'!$B$8,"자기 통제력, ","")</f>
        <v>실수 후 회복력, </v>
      </c>
      <c r="AK29" s="23" t="n">
        <f aca="false">IF(AND(G29&lt;'판정 기준'!$B$8,OR(AJ29&lt;&gt;"",AP29&lt;&gt;"경기긴장도")),G29,0)</f>
        <v>4.3</v>
      </c>
      <c r="AL29" s="23" t="n">
        <f aca="false">IF(AND(Q29&lt;'판정 기준'!$B$8,OR(AJ29&lt;&gt;"",AP29&lt;&gt;"사회적 도움 활용")),Q29,0)</f>
        <v>4</v>
      </c>
      <c r="AM29" s="23" t="n">
        <f aca="false">IF(AND(K29&lt;'판정 기준'!$B$8,OR(AJ29&lt;&gt;"",AP29&lt;&gt;"경기 준비 능력")),K29,0)</f>
        <v>3</v>
      </c>
      <c r="AN29" s="23" t="n">
        <f aca="false">IF(AND(N29&lt;'판정 기준'!$B$8,OR(AJ29&lt;&gt;"",AP29&lt;&gt;"실수 후 회복력")),N29,0)</f>
        <v>0</v>
      </c>
      <c r="AO29" s="23" t="n">
        <f aca="false">IF(AND(P29&lt;'판정 기준'!$B$8,OR(AJ29&lt;&gt;"",AP29&lt;&gt;"자기 통제력")),P29,0)</f>
        <v>3.5</v>
      </c>
      <c r="AP29" s="23" t="str">
        <f aca="false">IF(Q29=MAX(G29,Q29,K29,N29,P29),"사회적 도움 활용",IF(P29=MAX(G29,Q29,K29,N29,P29),"자기 통제력",IF(G29=MAX(G29,Q29,K29,N29,P29),"경기긴장도",IF(K29=MAX(G29,Q29,K29,N29,P29),"경기 준비 능력","실수 후 회복력"))))</f>
        <v>실수 후 회복력</v>
      </c>
    </row>
    <row r="30" customFormat="false" ht="17.15" hidden="false" customHeight="false" outlineLevel="0" collapsed="false">
      <c r="A30" s="13" t="s">
        <v>231</v>
      </c>
      <c r="B30" s="13" t="s">
        <v>187</v>
      </c>
      <c r="C30" s="13" t="s">
        <v>228</v>
      </c>
      <c r="D30" s="14" t="n">
        <v>46221</v>
      </c>
      <c r="E30" s="41" t="s">
        <v>198</v>
      </c>
      <c r="F30" s="42" t="n">
        <v>3.9</v>
      </c>
      <c r="G30" s="42" t="n">
        <v>4.3</v>
      </c>
      <c r="H30" s="42" t="n">
        <v>4.8</v>
      </c>
      <c r="I30" s="42" t="n">
        <v>4.6</v>
      </c>
      <c r="J30" s="42" t="n">
        <v>4.2</v>
      </c>
      <c r="K30" s="42" t="n">
        <v>4.6</v>
      </c>
      <c r="L30" s="42" t="n">
        <v>3.8</v>
      </c>
      <c r="M30" s="42" t="n">
        <v>5.3</v>
      </c>
      <c r="N30" s="42" t="n">
        <v>3.3</v>
      </c>
      <c r="O30" s="42" t="n">
        <v>3.5</v>
      </c>
      <c r="P30" s="42" t="n">
        <v>3.5</v>
      </c>
      <c r="Q30" s="42" t="n">
        <v>4.6</v>
      </c>
      <c r="R30" s="42" t="n">
        <v>4</v>
      </c>
      <c r="S30" s="37" t="n">
        <f aca="false">AVERAGE(G30:J30)</f>
        <v>4.475</v>
      </c>
      <c r="T30" s="37" t="n">
        <f aca="false">AVERAGE(K30:M30)</f>
        <v>4.56666666666667</v>
      </c>
      <c r="U30" s="37" t="n">
        <f aca="false">AVERAGE(N30:O30)</f>
        <v>3.4</v>
      </c>
      <c r="V30" s="23" t="str">
        <f aca="false">IF(S30&gt;='판정 기준'!$B$3,"H","L")&amp;IF(T30&gt;='판정 기준'!$B$3,"H","L")&amp;IF(U30&gt;='판정 기준'!$B$3,"H","L")</f>
        <v>LHL</v>
      </c>
      <c r="W30" s="36" t="str">
        <f aca="false">INDEX('포지션 정의'!$A$2:$A$9,MATCH(V30,'포지션 정의'!$D$2:$D$9,0))</f>
        <v>A</v>
      </c>
      <c r="X30" s="36" t="str">
        <f aca="false">INDEX('포지션 정의'!$B$2:$B$9,MATCH(V30,'포지션 정의'!$D$2:$D$9,0))</f>
        <v>섬세한 준비형</v>
      </c>
      <c r="Y30" s="43" t="str">
        <f aca="false">IF(AJ30="","가장 높은 지표: "&amp;AP30,LEFT(AJ30,LEN(AJ30)-2))</f>
        <v>가장 높은 지표: 사회적 도움 활용</v>
      </c>
      <c r="Z30" s="43" t="str">
        <f aca="false">IF(MAX(AK30:AO30)=0,"심화: "&amp;IF(N30=MIN(G30,Q30,K30,N30,P30),"실수 후 회복력",IF(K30=MIN(G30,Q30,K30,N30,P30),"경기 준비 능력",IF(G30=MIN(G30,Q30,K30,N30,P30),"경기긴장도",IF(P30=MIN(G30,Q30,K30,N30,P30),"자기 통제력","사회적 도움 활용")))),IF(MAX(AK30:AO30)&gt;='판정 기준'!$B$8-'판정 기준'!$B$4,IF(AN30=MAX(AK30:AO30),"실수 후 회복력",IF(AM30=MAX(AK30:AO30),"경기 준비 능력",IF(AK30=MAX(AK30:AO30),"경기긴장도",IF(AO30=MAX(AK30:AO30),"자기 통제력","사회적 도움 활용")))),IF(AN30&gt;0,"실수 후 회복력",IF(AM30&gt;0,"경기 준비 능력",IF(AK30&gt;0,"경기긴장도",IF(AO30&gt;0,"자기 통제력","사회적 도움 활용"))))))</f>
        <v>경기 준비 능력</v>
      </c>
      <c r="AA30" s="43" t="str">
        <f aca="false">INDEX('포지션 정의'!$L$2:$L$9,MATCH(V30,'포지션 정의'!$D$2:$D$9,0))</f>
        <v>로베르트 레반도프스키 · 제임스 밀너 · 마르틴 외데고르</v>
      </c>
      <c r="AB30" s="24" t="n">
        <f aca="false">ROUND(100*(1-SQRT(((S30-'포지션 정의'!$N$2)^2+(T30-'포지션 정의'!$O$2)^2+(U30-'포지션 정의'!$P$2)^2)/3)/'판정 기준'!$B$7),0)</f>
        <v>88</v>
      </c>
      <c r="AC30" s="24" t="n">
        <f aca="false">ROUND(100*(1-SQRT(((S30-'포지션 정의'!$N$3)^2+(T30-'포지션 정의'!$O$3)^2+(U30-'포지션 정의'!$P$3)^2)/3)/'판정 기준'!$B$7),0)</f>
        <v>88</v>
      </c>
      <c r="AD30" s="24" t="n">
        <f aca="false">ROUND(100*(1-SQRT(((S30-'포지션 정의'!$N$4)^2+(T30-'포지션 정의'!$O$4)^2+(U30-'포지션 정의'!$P$4)^2)/3)/'판정 기준'!$B$7),0)</f>
        <v>87</v>
      </c>
      <c r="AE30" s="24" t="n">
        <f aca="false">ROUND(100*(1-SQRT(((S30-'포지션 정의'!$N$5)^2+(T30-'포지션 정의'!$O$5)^2+(U30-'포지션 정의'!$P$5)^2)/3)/'판정 기준'!$B$7),0)</f>
        <v>76</v>
      </c>
      <c r="AF30" s="24" t="n">
        <f aca="false">ROUND(100*(1-SQRT(((S30-'포지션 정의'!$N$6)^2+(T30-'포지션 정의'!$O$6)^2+(U30-'포지션 정의'!$P$6)^2)/3)/'판정 기준'!$B$7),0)</f>
        <v>76</v>
      </c>
      <c r="AG30" s="24" t="n">
        <f aca="false">ROUND(100*(1-SQRT(((S30-'포지션 정의'!$N$7)^2+(T30-'포지션 정의'!$O$7)^2+(U30-'포지션 정의'!$P$7)^2)/3)/'판정 기준'!$B$7),0)</f>
        <v>77</v>
      </c>
      <c r="AH30" s="24" t="n">
        <f aca="false">ROUND(100*(1-SQRT(((S30-'포지션 정의'!$N$8)^2+(T30-'포지션 정의'!$O$8)^2+(U30-'포지션 정의'!$P$8)^2)/3)/'판정 기준'!$B$7),0)</f>
        <v>87</v>
      </c>
      <c r="AI30" s="24" t="n">
        <f aca="false">ROUND(100*(1-SQRT(((S30-'포지션 정의'!$N$9)^2+(T30-'포지션 정의'!$O$9)^2+(U30-'포지션 정의'!$P$9)^2)/3)/'판정 기준'!$B$7),0)</f>
        <v>76</v>
      </c>
      <c r="AJ30" s="23" t="str">
        <f aca="false">IF(G30&gt;='판정 기준'!$B$8,"경기긴장도, ","")&amp;IF(Q30&gt;='판정 기준'!$B$8,"사회적 도움 활용, ","")&amp;IF(K30&gt;='판정 기준'!$B$8,"경기 준비 능력, ","")&amp;IF(N30&gt;='판정 기준'!$B$8,"실수 후 회복력, ","")&amp;IF(P30&gt;='판정 기준'!$B$8,"자기 통제력, ","")</f>
        <v/>
      </c>
      <c r="AK30" s="23" t="n">
        <f aca="false">IF(AND(G30&lt;'판정 기준'!$B$8,OR(AJ30&lt;&gt;"",AP30&lt;&gt;"경기긴장도")),G30,0)</f>
        <v>4.3</v>
      </c>
      <c r="AL30" s="23" t="n">
        <f aca="false">IF(AND(Q30&lt;'판정 기준'!$B$8,OR(AJ30&lt;&gt;"",AP30&lt;&gt;"사회적 도움 활용")),Q30,0)</f>
        <v>0</v>
      </c>
      <c r="AM30" s="23" t="n">
        <f aca="false">IF(AND(K30&lt;'판정 기준'!$B$8,OR(AJ30&lt;&gt;"",AP30&lt;&gt;"경기 준비 능력")),K30,0)</f>
        <v>4.6</v>
      </c>
      <c r="AN30" s="23" t="n">
        <f aca="false">IF(AND(N30&lt;'판정 기준'!$B$8,OR(AJ30&lt;&gt;"",AP30&lt;&gt;"실수 후 회복력")),N30,0)</f>
        <v>3.3</v>
      </c>
      <c r="AO30" s="23" t="n">
        <f aca="false">IF(AND(P30&lt;'판정 기준'!$B$8,OR(AJ30&lt;&gt;"",AP30&lt;&gt;"자기 통제력")),P30,0)</f>
        <v>3.5</v>
      </c>
      <c r="AP30" s="23" t="str">
        <f aca="false">IF(Q30=MAX(G30,Q30,K30,N30,P30),"사회적 도움 활용",IF(P30=MAX(G30,Q30,K30,N30,P30),"자기 통제력",IF(G30=MAX(G30,Q30,K30,N30,P30),"경기긴장도",IF(K30=MAX(G30,Q30,K30,N30,P30),"경기 준비 능력","실수 후 회복력"))))</f>
        <v>사회적 도움 활용</v>
      </c>
    </row>
    <row r="31" customFormat="false" ht="17.15" hidden="false" customHeight="false" outlineLevel="0" collapsed="false">
      <c r="A31" s="13" t="s">
        <v>232</v>
      </c>
      <c r="B31" s="13" t="s">
        <v>187</v>
      </c>
      <c r="C31" s="13" t="s">
        <v>228</v>
      </c>
      <c r="D31" s="14" t="n">
        <v>46221</v>
      </c>
      <c r="E31" s="41" t="s">
        <v>189</v>
      </c>
      <c r="F31" s="42" t="n">
        <v>4.4</v>
      </c>
      <c r="G31" s="42" t="n">
        <v>3.3</v>
      </c>
      <c r="H31" s="42" t="n">
        <v>3.7</v>
      </c>
      <c r="I31" s="42" t="n">
        <v>3</v>
      </c>
      <c r="J31" s="42" t="n">
        <v>3.2</v>
      </c>
      <c r="K31" s="42" t="n">
        <v>4.8</v>
      </c>
      <c r="L31" s="42" t="n">
        <v>4.3</v>
      </c>
      <c r="M31" s="42" t="n">
        <v>5.1</v>
      </c>
      <c r="N31" s="42" t="n">
        <v>4.7</v>
      </c>
      <c r="O31" s="42" t="n">
        <v>4.3</v>
      </c>
      <c r="P31" s="42" t="n">
        <v>5</v>
      </c>
      <c r="Q31" s="42" t="n">
        <v>3.4</v>
      </c>
      <c r="R31" s="42" t="n">
        <v>5.7</v>
      </c>
      <c r="S31" s="37" t="n">
        <f aca="false">AVERAGE(G31:J31)</f>
        <v>3.3</v>
      </c>
      <c r="T31" s="37" t="n">
        <f aca="false">AVERAGE(K31:M31)</f>
        <v>4.73333333333333</v>
      </c>
      <c r="U31" s="37" t="n">
        <f aca="false">AVERAGE(N31:O31)</f>
        <v>4.5</v>
      </c>
      <c r="V31" s="23" t="str">
        <f aca="false">IF(S31&gt;='판정 기준'!$B$3,"H","L")&amp;IF(T31&gt;='판정 기준'!$B$3,"H","L")&amp;IF(U31&gt;='판정 기준'!$B$3,"H","L")</f>
        <v>LHH</v>
      </c>
      <c r="W31" s="36" t="str">
        <f aca="false">INDEX('포지션 정의'!$A$2:$A$9,MATCH(V31,'포지션 정의'!$D$2:$D$9,0))</f>
        <v>F</v>
      </c>
      <c r="X31" s="36" t="str">
        <f aca="false">INDEX('포지션 정의'!$B$2:$B$9,MATCH(V31,'포지션 정의'!$D$2:$D$9,0))</f>
        <v>성실한 도전자형</v>
      </c>
      <c r="Y31" s="43" t="str">
        <f aca="false">IF(AJ31="","가장 높은 지표: "&amp;AP31,LEFT(AJ31,LEN(AJ31)-2))</f>
        <v>경기 준비 능력, 자기 통제력</v>
      </c>
      <c r="Z31" s="43" t="str">
        <f aca="false">IF(MAX(AK31:AO31)=0,"심화: "&amp;IF(N31=MIN(G31,Q31,K31,N31,P31),"실수 후 회복력",IF(K31=MIN(G31,Q31,K31,N31,P31),"경기 준비 능력",IF(G31=MIN(G31,Q31,K31,N31,P31),"경기긴장도",IF(P31=MIN(G31,Q31,K31,N31,P31),"자기 통제력","사회적 도움 활용")))),IF(MAX(AK31:AO31)&gt;='판정 기준'!$B$8-'판정 기준'!$B$4,IF(AN31=MAX(AK31:AO31),"실수 후 회복력",IF(AM31=MAX(AK31:AO31),"경기 준비 능력",IF(AK31=MAX(AK31:AO31),"경기긴장도",IF(AO31=MAX(AK31:AO31),"자기 통제력","사회적 도움 활용")))),IF(AN31&gt;0,"실수 후 회복력",IF(AM31&gt;0,"경기 준비 능력",IF(AK31&gt;0,"경기긴장도",IF(AO31&gt;0,"자기 통제력","사회적 도움 활용"))))))</f>
        <v>실수 후 회복력</v>
      </c>
      <c r="AA31" s="43" t="str">
        <f aca="false">INDEX('포지션 정의'!$L$2:$L$9,MATCH(V31,'포지션 정의'!$D$2:$D$9,0))</f>
        <v>제이미 바디 · 은골로 캉테 · 박지성</v>
      </c>
      <c r="AB31" s="24" t="n">
        <f aca="false">ROUND(100*(1-SQRT(((S31-'포지션 정의'!$N$2)^2+(T31-'포지션 정의'!$O$2)^2+(U31-'포지션 정의'!$P$2)^2)/3)/'판정 기준'!$B$7),0)</f>
        <v>89</v>
      </c>
      <c r="AC31" s="24" t="n">
        <f aca="false">ROUND(100*(1-SQRT(((S31-'포지션 정의'!$N$3)^2+(T31-'포지션 정의'!$O$3)^2+(U31-'포지션 정의'!$P$3)^2)/3)/'판정 기준'!$B$7),0)</f>
        <v>76</v>
      </c>
      <c r="AD31" s="24" t="n">
        <f aca="false">ROUND(100*(1-SQRT(((S31-'포지션 정의'!$N$4)^2+(T31-'포지션 정의'!$O$4)^2+(U31-'포지션 정의'!$P$4)^2)/3)/'판정 기준'!$B$7),0)</f>
        <v>74</v>
      </c>
      <c r="AE31" s="24" t="n">
        <f aca="false">ROUND(100*(1-SQRT(((S31-'포지션 정의'!$N$5)^2+(T31-'포지션 정의'!$O$5)^2+(U31-'포지션 정의'!$P$5)^2)/3)/'판정 기준'!$B$7),0)</f>
        <v>74</v>
      </c>
      <c r="AF31" s="24" t="n">
        <f aca="false">ROUND(100*(1-SQRT(((S31-'포지션 정의'!$N$6)^2+(T31-'포지션 정의'!$O$6)^2+(U31-'포지션 정의'!$P$6)^2)/3)/'판정 기준'!$B$7),0)</f>
        <v>85</v>
      </c>
      <c r="AG31" s="24" t="n">
        <f aca="false">ROUND(100*(1-SQRT(((S31-'포지션 정의'!$N$7)^2+(T31-'포지션 정의'!$O$7)^2+(U31-'포지션 정의'!$P$7)^2)/3)/'판정 기준'!$B$7),0)</f>
        <v>89</v>
      </c>
      <c r="AH31" s="24" t="n">
        <f aca="false">ROUND(100*(1-SQRT(((S31-'포지션 정의'!$N$8)^2+(T31-'포지션 정의'!$O$8)^2+(U31-'포지션 정의'!$P$8)^2)/3)/'판정 기준'!$B$7),0)</f>
        <v>85</v>
      </c>
      <c r="AI31" s="24" t="n">
        <f aca="false">ROUND(100*(1-SQRT(((S31-'포지션 정의'!$N$9)^2+(T31-'포지션 정의'!$O$9)^2+(U31-'포지션 정의'!$P$9)^2)/3)/'판정 기준'!$B$7),0)</f>
        <v>76</v>
      </c>
      <c r="AJ31" s="23" t="str">
        <f aca="false">IF(G31&gt;='판정 기준'!$B$8,"경기긴장도, ","")&amp;IF(Q31&gt;='판정 기준'!$B$8,"사회적 도움 활용, ","")&amp;IF(K31&gt;='판정 기준'!$B$8,"경기 준비 능력, ","")&amp;IF(N31&gt;='판정 기준'!$B$8,"실수 후 회복력, ","")&amp;IF(P31&gt;='판정 기준'!$B$8,"자기 통제력, ","")</f>
        <v>경기 준비 능력, 자기 통제력, </v>
      </c>
      <c r="AK31" s="23" t="n">
        <f aca="false">IF(AND(G31&lt;'판정 기준'!$B$8,OR(AJ31&lt;&gt;"",AP31&lt;&gt;"경기긴장도")),G31,0)</f>
        <v>3.3</v>
      </c>
      <c r="AL31" s="23" t="n">
        <f aca="false">IF(AND(Q31&lt;'판정 기준'!$B$8,OR(AJ31&lt;&gt;"",AP31&lt;&gt;"사회적 도움 활용")),Q31,0)</f>
        <v>3.4</v>
      </c>
      <c r="AM31" s="23" t="n">
        <f aca="false">IF(AND(K31&lt;'판정 기준'!$B$8,OR(AJ31&lt;&gt;"",AP31&lt;&gt;"경기 준비 능력")),K31,0)</f>
        <v>0</v>
      </c>
      <c r="AN31" s="23" t="n">
        <f aca="false">IF(AND(N31&lt;'판정 기준'!$B$8,OR(AJ31&lt;&gt;"",AP31&lt;&gt;"실수 후 회복력")),N31,0)</f>
        <v>4.7</v>
      </c>
      <c r="AO31" s="23" t="n">
        <f aca="false">IF(AND(P31&lt;'판정 기준'!$B$8,OR(AJ31&lt;&gt;"",AP31&lt;&gt;"자기 통제력")),P31,0)</f>
        <v>0</v>
      </c>
      <c r="AP31" s="23" t="str">
        <f aca="false">IF(Q31=MAX(G31,Q31,K31,N31,P31),"사회적 도움 활용",IF(P31=MAX(G31,Q31,K31,N31,P31),"자기 통제력",IF(G31=MAX(G31,Q31,K31,N31,P31),"경기긴장도",IF(K31=MAX(G31,Q31,K31,N31,P31),"경기 준비 능력","실수 후 회복력"))))</f>
        <v>자기 통제력</v>
      </c>
    </row>
    <row r="32" customFormat="false" ht="17.15" hidden="false" customHeight="false" outlineLevel="0" collapsed="false">
      <c r="A32" s="13" t="s">
        <v>233</v>
      </c>
      <c r="B32" s="13" t="s">
        <v>187</v>
      </c>
      <c r="C32" s="41" t="s">
        <v>234</v>
      </c>
      <c r="D32" s="14" t="n">
        <v>46221</v>
      </c>
      <c r="E32" s="41" t="s">
        <v>198</v>
      </c>
      <c r="F32" s="42" t="n">
        <v>4.9</v>
      </c>
      <c r="G32" s="42" t="n">
        <v>4.8</v>
      </c>
      <c r="H32" s="42" t="n">
        <v>4.7</v>
      </c>
      <c r="I32" s="42" t="n">
        <v>5</v>
      </c>
      <c r="J32" s="42" t="n">
        <v>4.8</v>
      </c>
      <c r="K32" s="42" t="n">
        <v>4.5</v>
      </c>
      <c r="L32" s="42" t="n">
        <v>4.5</v>
      </c>
      <c r="M32" s="42" t="n">
        <v>4.6</v>
      </c>
      <c r="N32" s="42" t="n">
        <v>5</v>
      </c>
      <c r="O32" s="42" t="n">
        <v>5.2</v>
      </c>
      <c r="P32" s="42" t="n">
        <v>5.3</v>
      </c>
      <c r="Q32" s="42" t="n">
        <v>4.8</v>
      </c>
      <c r="R32" s="42" t="n">
        <v>5.7</v>
      </c>
      <c r="S32" s="37" t="n">
        <f aca="false">AVERAGE(G32:J32)</f>
        <v>4.825</v>
      </c>
      <c r="T32" s="37" t="n">
        <f aca="false">AVERAGE(K32:M32)</f>
        <v>4.53333333333333</v>
      </c>
      <c r="U32" s="37" t="n">
        <f aca="false">AVERAGE(N32:O32)</f>
        <v>5.1</v>
      </c>
      <c r="V32" s="23" t="str">
        <f aca="false">IF(S32&gt;='판정 기준'!$B$3,"H","L")&amp;IF(T32&gt;='판정 기준'!$B$3,"H","L")&amp;IF(U32&gt;='판정 기준'!$B$3,"H","L")</f>
        <v>HHH</v>
      </c>
      <c r="W32" s="36" t="str">
        <f aca="false">INDEX('포지션 정의'!$A$2:$A$9,MATCH(V32,'포지션 정의'!$D$2:$D$9,0))</f>
        <v>H</v>
      </c>
      <c r="X32" s="36" t="str">
        <f aca="false">INDEX('포지션 정의'!$B$2:$B$9,MATCH(V32,'포지션 정의'!$D$2:$D$9,0))</f>
        <v>올라운드 밸런스형</v>
      </c>
      <c r="Y32" s="43" t="str">
        <f aca="false">IF(AJ32="","가장 높은 지표: "&amp;AP32,LEFT(AJ32,LEN(AJ32)-2))</f>
        <v>경기긴장도, 사회적 도움 활용, 실수 후 회복력, 자기 통제력</v>
      </c>
      <c r="Z32" s="43" t="str">
        <f aca="false">IF(MAX(AK32:AO32)=0,"심화: "&amp;IF(N32=MIN(G32,Q32,K32,N32,P32),"실수 후 회복력",IF(K32=MIN(G32,Q32,K32,N32,P32),"경기 준비 능력",IF(G32=MIN(G32,Q32,K32,N32,P32),"경기긴장도",IF(P32=MIN(G32,Q32,K32,N32,P32),"자기 통제력","사회적 도움 활용")))),IF(MAX(AK32:AO32)&gt;='판정 기준'!$B$8-'판정 기준'!$B$4,IF(AN32=MAX(AK32:AO32),"실수 후 회복력",IF(AM32=MAX(AK32:AO32),"경기 준비 능력",IF(AK32=MAX(AK32:AO32),"경기긴장도",IF(AO32=MAX(AK32:AO32),"자기 통제력","사회적 도움 활용")))),IF(AN32&gt;0,"실수 후 회복력",IF(AM32&gt;0,"경기 준비 능력",IF(AK32&gt;0,"경기긴장도",IF(AO32&gt;0,"자기 통제력","사회적 도움 활용"))))))</f>
        <v>경기 준비 능력</v>
      </c>
      <c r="AA32" s="43" t="str">
        <f aca="false">INDEX('포지션 정의'!$L$2:$L$9,MATCH(V32,'포지션 정의'!$D$2:$D$9,0))</f>
        <v>크리스티아누 호날두 · 루카 모드리치 · 버질 반 다이크</v>
      </c>
      <c r="AB32" s="24" t="n">
        <f aca="false">ROUND(100*(1-SQRT(((S32-'포지션 정의'!$N$2)^2+(T32-'포지션 정의'!$O$2)^2+(U32-'포지션 정의'!$P$2)^2)/3)/'판정 기준'!$B$7),0)</f>
        <v>79</v>
      </c>
      <c r="AC32" s="24" t="n">
        <f aca="false">ROUND(100*(1-SQRT(((S32-'포지션 정의'!$N$3)^2+(T32-'포지션 정의'!$O$3)^2+(U32-'포지션 정의'!$P$3)^2)/3)/'판정 기준'!$B$7),0)</f>
        <v>83</v>
      </c>
      <c r="AD32" s="24" t="n">
        <f aca="false">ROUND(100*(1-SQRT(((S32-'포지션 정의'!$N$4)^2+(T32-'포지션 정의'!$O$4)^2+(U32-'포지션 정의'!$P$4)^2)/3)/'판정 기준'!$B$7),0)</f>
        <v>82</v>
      </c>
      <c r="AE32" s="24" t="n">
        <f aca="false">ROUND(100*(1-SQRT(((S32-'포지션 정의'!$N$5)^2+(T32-'포지션 정의'!$O$5)^2+(U32-'포지션 정의'!$P$5)^2)/3)/'판정 기준'!$B$7),0)</f>
        <v>90</v>
      </c>
      <c r="AF32" s="24" t="n">
        <f aca="false">ROUND(100*(1-SQRT(((S32-'포지션 정의'!$N$6)^2+(T32-'포지션 정의'!$O$6)^2+(U32-'포지션 정의'!$P$6)^2)/3)/'판정 기준'!$B$7),0)</f>
        <v>85</v>
      </c>
      <c r="AG32" s="24" t="n">
        <f aca="false">ROUND(100*(1-SQRT(((S32-'포지션 정의'!$N$7)^2+(T32-'포지션 정의'!$O$7)^2+(U32-'포지션 정의'!$P$7)^2)/3)/'판정 기준'!$B$7),0)</f>
        <v>86</v>
      </c>
      <c r="AH32" s="24" t="n">
        <f aca="false">ROUND(100*(1-SQRT(((S32-'포지션 정의'!$N$8)^2+(T32-'포지션 정의'!$O$8)^2+(U32-'포지션 정의'!$P$8)^2)/3)/'판정 기준'!$B$7),0)</f>
        <v>79</v>
      </c>
      <c r="AI32" s="24" t="n">
        <f aca="false">ROUND(100*(1-SQRT(((S32-'포지션 정의'!$N$9)^2+(T32-'포지션 정의'!$O$9)^2+(U32-'포지션 정의'!$P$9)^2)/3)/'판정 기준'!$B$7),0)</f>
        <v>91</v>
      </c>
      <c r="AJ32" s="23" t="str">
        <f aca="false">IF(G32&gt;='판정 기준'!$B$8,"경기긴장도, ","")&amp;IF(Q32&gt;='판정 기준'!$B$8,"사회적 도움 활용, ","")&amp;IF(K32&gt;='판정 기준'!$B$8,"경기 준비 능력, ","")&amp;IF(N32&gt;='판정 기준'!$B$8,"실수 후 회복력, ","")&amp;IF(P32&gt;='판정 기준'!$B$8,"자기 통제력, ","")</f>
        <v>경기긴장도, 사회적 도움 활용, 실수 후 회복력, 자기 통제력, </v>
      </c>
      <c r="AK32" s="23" t="n">
        <f aca="false">IF(AND(G32&lt;'판정 기준'!$B$8,OR(AJ32&lt;&gt;"",AP32&lt;&gt;"경기긴장도")),G32,0)</f>
        <v>0</v>
      </c>
      <c r="AL32" s="23" t="n">
        <f aca="false">IF(AND(Q32&lt;'판정 기준'!$B$8,OR(AJ32&lt;&gt;"",AP32&lt;&gt;"사회적 도움 활용")),Q32,0)</f>
        <v>0</v>
      </c>
      <c r="AM32" s="23" t="n">
        <f aca="false">IF(AND(K32&lt;'판정 기준'!$B$8,OR(AJ32&lt;&gt;"",AP32&lt;&gt;"경기 준비 능력")),K32,0)</f>
        <v>4.5</v>
      </c>
      <c r="AN32" s="23" t="n">
        <f aca="false">IF(AND(N32&lt;'판정 기준'!$B$8,OR(AJ32&lt;&gt;"",AP32&lt;&gt;"실수 후 회복력")),N32,0)</f>
        <v>0</v>
      </c>
      <c r="AO32" s="23" t="n">
        <f aca="false">IF(AND(P32&lt;'판정 기준'!$B$8,OR(AJ32&lt;&gt;"",AP32&lt;&gt;"자기 통제력")),P32,0)</f>
        <v>0</v>
      </c>
      <c r="AP32" s="23" t="str">
        <f aca="false">IF(Q32=MAX(G32,Q32,K32,N32,P32),"사회적 도움 활용",IF(P32=MAX(G32,Q32,K32,N32,P32),"자기 통제력",IF(G32=MAX(G32,Q32,K32,N32,P32),"경기긴장도",IF(K32=MAX(G32,Q32,K32,N32,P32),"경기 준비 능력","실수 후 회복력"))))</f>
        <v>자기 통제력</v>
      </c>
    </row>
    <row r="33" customFormat="false" ht="17.15" hidden="false" customHeight="false" outlineLevel="0" collapsed="false">
      <c r="A33" s="13" t="s">
        <v>235</v>
      </c>
      <c r="B33" s="13" t="s">
        <v>187</v>
      </c>
      <c r="C33" s="13" t="s">
        <v>228</v>
      </c>
      <c r="D33" s="14" t="n">
        <v>46218</v>
      </c>
      <c r="E33" s="41" t="s">
        <v>189</v>
      </c>
      <c r="F33" s="42" t="n">
        <v>4.5</v>
      </c>
      <c r="G33" s="42" t="n">
        <v>4.9</v>
      </c>
      <c r="H33" s="42" t="n">
        <v>5.2</v>
      </c>
      <c r="I33" s="42" t="n">
        <v>5</v>
      </c>
      <c r="J33" s="42" t="n">
        <v>5.3</v>
      </c>
      <c r="K33" s="42" t="n">
        <v>5.4</v>
      </c>
      <c r="L33" s="42" t="n">
        <v>5.2</v>
      </c>
      <c r="M33" s="42" t="n">
        <v>5.6</v>
      </c>
      <c r="N33" s="42" t="n">
        <v>3.6</v>
      </c>
      <c r="O33" s="42" t="n">
        <v>4.2</v>
      </c>
      <c r="P33" s="42" t="n">
        <v>4.3</v>
      </c>
      <c r="Q33" s="42" t="n">
        <v>5.6</v>
      </c>
      <c r="R33" s="42" t="n">
        <v>6</v>
      </c>
      <c r="S33" s="37" t="n">
        <f aca="false">AVERAGE(G33:J33)</f>
        <v>5.1</v>
      </c>
      <c r="T33" s="37" t="n">
        <f aca="false">AVERAGE(K33:M33)</f>
        <v>5.4</v>
      </c>
      <c r="U33" s="37" t="n">
        <f aca="false">AVERAGE(N33:O33)</f>
        <v>3.9</v>
      </c>
      <c r="V33" s="23" t="str">
        <f aca="false">IF(S33&gt;='판정 기준'!$B$3,"H","L")&amp;IF(T33&gt;='판정 기준'!$B$3,"H","L")&amp;IF(U33&gt;='판정 기준'!$B$3,"H","L")</f>
        <v>HHL</v>
      </c>
      <c r="W33" s="36" t="str">
        <f aca="false">INDEX('포지션 정의'!$A$2:$A$9,MATCH(V33,'포지션 정의'!$D$2:$D$9,0))</f>
        <v>B</v>
      </c>
      <c r="X33" s="36" t="str">
        <f aca="false">INDEX('포지션 정의'!$B$2:$B$9,MATCH(V33,'포지션 정의'!$D$2:$D$9,0))</f>
        <v>책임감 설계자형</v>
      </c>
      <c r="Y33" s="43" t="str">
        <f aca="false">IF(AJ33="","가장 높은 지표: "&amp;AP33,LEFT(AJ33,LEN(AJ33)-2))</f>
        <v>경기긴장도, 사회적 도움 활용, 경기 준비 능력</v>
      </c>
      <c r="Z33" s="43" t="str">
        <f aca="false">IF(MAX(AK33:AO33)=0,"심화: "&amp;IF(N33=MIN(G33,Q33,K33,N33,P33),"실수 후 회복력",IF(K33=MIN(G33,Q33,K33,N33,P33),"경기 준비 능력",IF(G33=MIN(G33,Q33,K33,N33,P33),"경기긴장도",IF(P33=MIN(G33,Q33,K33,N33,P33),"자기 통제력","사회적 도움 활용")))),IF(MAX(AK33:AO33)&gt;='판정 기준'!$B$8-'판정 기준'!$B$4,IF(AN33=MAX(AK33:AO33),"실수 후 회복력",IF(AM33=MAX(AK33:AO33),"경기 준비 능력",IF(AK33=MAX(AK33:AO33),"경기긴장도",IF(AO33=MAX(AK33:AO33),"자기 통제력","사회적 도움 활용")))),IF(AN33&gt;0,"실수 후 회복력",IF(AM33&gt;0,"경기 준비 능력",IF(AK33&gt;0,"경기긴장도",IF(AO33&gt;0,"자기 통제력","사회적 도움 활용"))))))</f>
        <v>실수 후 회복력</v>
      </c>
      <c r="AA33" s="43" t="str">
        <f aca="false">INDEX('포지션 정의'!$L$2:$L$9,MATCH(V33,'포지션 정의'!$D$2:$D$9,0))</f>
        <v>해리 케인 · 토니 크로스 · 필립 람</v>
      </c>
      <c r="AB33" s="24" t="n">
        <f aca="false">ROUND(100*(1-SQRT(((S33-'포지션 정의'!$N$2)^2+(T33-'포지션 정의'!$O$2)^2+(U33-'포지션 정의'!$P$2)^2)/3)/'판정 기준'!$B$7),0)</f>
        <v>85</v>
      </c>
      <c r="AC33" s="24" t="n">
        <f aca="false">ROUND(100*(1-SQRT(((S33-'포지션 정의'!$N$3)^2+(T33-'포지션 정의'!$O$3)^2+(U33-'포지션 정의'!$P$3)^2)/3)/'판정 기준'!$B$7),0)</f>
        <v>97</v>
      </c>
      <c r="AD33" s="24" t="n">
        <f aca="false">ROUND(100*(1-SQRT(((S33-'포지션 정의'!$N$4)^2+(T33-'포지션 정의'!$O$4)^2+(U33-'포지션 정의'!$P$4)^2)/3)/'판정 기준'!$B$7),0)</f>
        <v>81</v>
      </c>
      <c r="AE33" s="24" t="n">
        <f aca="false">ROUND(100*(1-SQRT(((S33-'포지션 정의'!$N$5)^2+(T33-'포지션 정의'!$O$5)^2+(U33-'포지션 정의'!$P$5)^2)/3)/'판정 기준'!$B$7),0)</f>
        <v>76</v>
      </c>
      <c r="AF33" s="24" t="n">
        <f aca="false">ROUND(100*(1-SQRT(((S33-'포지션 정의'!$N$6)^2+(T33-'포지션 정의'!$O$6)^2+(U33-'포지션 정의'!$P$6)^2)/3)/'판정 기준'!$B$7),0)</f>
        <v>72</v>
      </c>
      <c r="AG33" s="24" t="n">
        <f aca="false">ROUND(100*(1-SQRT(((S33-'포지션 정의'!$N$7)^2+(T33-'포지션 정의'!$O$7)^2+(U33-'포지션 정의'!$P$7)^2)/3)/'판정 기준'!$B$7),0)</f>
        <v>79</v>
      </c>
      <c r="AH33" s="24" t="n">
        <f aca="false">ROUND(100*(1-SQRT(((S33-'포지션 정의'!$N$8)^2+(T33-'포지션 정의'!$O$8)^2+(U33-'포지션 정의'!$P$8)^2)/3)/'판정 기준'!$B$7),0)</f>
        <v>76</v>
      </c>
      <c r="AI33" s="24" t="n">
        <f aca="false">ROUND(100*(1-SQRT(((S33-'포지션 정의'!$N$9)^2+(T33-'포지션 정의'!$O$9)^2+(U33-'포지션 정의'!$P$9)^2)/3)/'판정 기준'!$B$7),0)</f>
        <v>85</v>
      </c>
      <c r="AJ33" s="23" t="str">
        <f aca="false">IF(G33&gt;='판정 기준'!$B$8,"경기긴장도, ","")&amp;IF(Q33&gt;='판정 기준'!$B$8,"사회적 도움 활용, ","")&amp;IF(K33&gt;='판정 기준'!$B$8,"경기 준비 능력, ","")&amp;IF(N33&gt;='판정 기준'!$B$8,"실수 후 회복력, ","")&amp;IF(P33&gt;='판정 기준'!$B$8,"자기 통제력, ","")</f>
        <v>경기긴장도, 사회적 도움 활용, 경기 준비 능력, </v>
      </c>
      <c r="AK33" s="23" t="n">
        <f aca="false">IF(AND(G33&lt;'판정 기준'!$B$8,OR(AJ33&lt;&gt;"",AP33&lt;&gt;"경기긴장도")),G33,0)</f>
        <v>0</v>
      </c>
      <c r="AL33" s="23" t="n">
        <f aca="false">IF(AND(Q33&lt;'판정 기준'!$B$8,OR(AJ33&lt;&gt;"",AP33&lt;&gt;"사회적 도움 활용")),Q33,0)</f>
        <v>0</v>
      </c>
      <c r="AM33" s="23" t="n">
        <f aca="false">IF(AND(K33&lt;'판정 기준'!$B$8,OR(AJ33&lt;&gt;"",AP33&lt;&gt;"경기 준비 능력")),K33,0)</f>
        <v>0</v>
      </c>
      <c r="AN33" s="23" t="n">
        <f aca="false">IF(AND(N33&lt;'판정 기준'!$B$8,OR(AJ33&lt;&gt;"",AP33&lt;&gt;"실수 후 회복력")),N33,0)</f>
        <v>3.6</v>
      </c>
      <c r="AO33" s="23" t="n">
        <f aca="false">IF(AND(P33&lt;'판정 기준'!$B$8,OR(AJ33&lt;&gt;"",AP33&lt;&gt;"자기 통제력")),P33,0)</f>
        <v>4.3</v>
      </c>
      <c r="AP33" s="23" t="str">
        <f aca="false">IF(Q33=MAX(G33,Q33,K33,N33,P33),"사회적 도움 활용",IF(P33=MAX(G33,Q33,K33,N33,P33),"자기 통제력",IF(G33=MAX(G33,Q33,K33,N33,P33),"경기긴장도",IF(K33=MAX(G33,Q33,K33,N33,P33),"경기 준비 능력","실수 후 회복력"))))</f>
        <v>사회적 도움 활용</v>
      </c>
    </row>
    <row r="34" customFormat="false" ht="17.15" hidden="false" customHeight="false" outlineLevel="0" collapsed="false">
      <c r="A34" s="13" t="s">
        <v>236</v>
      </c>
      <c r="B34" s="13" t="s">
        <v>187</v>
      </c>
      <c r="C34" s="13" t="s">
        <v>237</v>
      </c>
      <c r="D34" s="14" t="n">
        <v>46216</v>
      </c>
      <c r="E34" s="41" t="s">
        <v>198</v>
      </c>
      <c r="F34" s="42" t="n">
        <v>5.6</v>
      </c>
      <c r="G34" s="42" t="n">
        <v>5.5</v>
      </c>
      <c r="H34" s="42" t="n">
        <v>5.5</v>
      </c>
      <c r="I34" s="42" t="n">
        <v>6</v>
      </c>
      <c r="J34" s="42" t="n">
        <v>5.5</v>
      </c>
      <c r="K34" s="42" t="n">
        <v>5.1</v>
      </c>
      <c r="L34" s="42" t="n">
        <v>5.3</v>
      </c>
      <c r="M34" s="42" t="n">
        <v>4.9</v>
      </c>
      <c r="N34" s="42" t="n">
        <v>5.9</v>
      </c>
      <c r="O34" s="42" t="n">
        <v>5.8</v>
      </c>
      <c r="P34" s="42" t="n">
        <v>5.7</v>
      </c>
      <c r="Q34" s="42" t="n">
        <v>6</v>
      </c>
      <c r="R34" s="42" t="n">
        <v>6</v>
      </c>
      <c r="S34" s="37" t="n">
        <f aca="false">AVERAGE(G34:J34)</f>
        <v>5.625</v>
      </c>
      <c r="T34" s="37" t="n">
        <f aca="false">AVERAGE(K34:M34)</f>
        <v>5.1</v>
      </c>
      <c r="U34" s="37" t="n">
        <f aca="false">AVERAGE(N34:O34)</f>
        <v>5.85</v>
      </c>
      <c r="V34" s="23" t="str">
        <f aca="false">IF(S34&gt;='판정 기준'!$B$3,"H","L")&amp;IF(T34&gt;='판정 기준'!$B$3,"H","L")&amp;IF(U34&gt;='판정 기준'!$B$3,"H","L")</f>
        <v>HHH</v>
      </c>
      <c r="W34" s="36" t="str">
        <f aca="false">INDEX('포지션 정의'!$A$2:$A$9,MATCH(V34,'포지션 정의'!$D$2:$D$9,0))</f>
        <v>H</v>
      </c>
      <c r="X34" s="36" t="str">
        <f aca="false">INDEX('포지션 정의'!$B$2:$B$9,MATCH(V34,'포지션 정의'!$D$2:$D$9,0))</f>
        <v>올라운드 밸런스형</v>
      </c>
      <c r="Y34" s="43" t="str">
        <f aca="false">IF(AJ34="","가장 높은 지표: "&amp;AP34,LEFT(AJ34,LEN(AJ34)-2))</f>
        <v>경기긴장도, 사회적 도움 활용, 경기 준비 능력, 실수 후 회복력, 자기 통제력</v>
      </c>
      <c r="Z34" s="43" t="str">
        <f aca="false">IF(MAX(AK34:AO34)=0,"심화: "&amp;IF(N34=MIN(G34,Q34,K34,N34,P34),"실수 후 회복력",IF(K34=MIN(G34,Q34,K34,N34,P34),"경기 준비 능력",IF(G34=MIN(G34,Q34,K34,N34,P34),"경기긴장도",IF(P34=MIN(G34,Q34,K34,N34,P34),"자기 통제력","사회적 도움 활용")))),IF(MAX(AK34:AO34)&gt;='판정 기준'!$B$8-'판정 기준'!$B$4,IF(AN34=MAX(AK34:AO34),"실수 후 회복력",IF(AM34=MAX(AK34:AO34),"경기 준비 능력",IF(AK34=MAX(AK34:AO34),"경기긴장도",IF(AO34=MAX(AK34:AO34),"자기 통제력","사회적 도움 활용")))),IF(AN34&gt;0,"실수 후 회복력",IF(AM34&gt;0,"경기 준비 능력",IF(AK34&gt;0,"경기긴장도",IF(AO34&gt;0,"자기 통제력","사회적 도움 활용"))))))</f>
        <v>심화: 경기 준비 능력</v>
      </c>
      <c r="AA34" s="43" t="str">
        <f aca="false">INDEX('포지션 정의'!$L$2:$L$9,MATCH(V34,'포지션 정의'!$D$2:$D$9,0))</f>
        <v>크리스티아누 호날두 · 루카 모드리치 · 버질 반 다이크</v>
      </c>
      <c r="AB34" s="24" t="n">
        <f aca="false">ROUND(100*(1-SQRT(((S34-'포지션 정의'!$N$2)^2+(T34-'포지션 정의'!$O$2)^2+(U34-'포지션 정의'!$P$2)^2)/3)/'판정 기준'!$B$7),0)</f>
        <v>68</v>
      </c>
      <c r="AC34" s="24" t="n">
        <f aca="false">ROUND(100*(1-SQRT(((S34-'포지션 정의'!$N$3)^2+(T34-'포지션 정의'!$O$3)^2+(U34-'포지션 정의'!$P$3)^2)/3)/'판정 기준'!$B$7),0)</f>
        <v>76</v>
      </c>
      <c r="AD34" s="24" t="n">
        <f aca="false">ROUND(100*(1-SQRT(((S34-'포지션 정의'!$N$4)^2+(T34-'포지션 정의'!$O$4)^2+(U34-'포지션 정의'!$P$4)^2)/3)/'판정 기준'!$B$7),0)</f>
        <v>72</v>
      </c>
      <c r="AE34" s="24" t="n">
        <f aca="false">ROUND(100*(1-SQRT(((S34-'포지션 정의'!$N$5)^2+(T34-'포지션 정의'!$O$5)^2+(U34-'포지션 정의'!$P$5)^2)/3)/'판정 기준'!$B$7),0)</f>
        <v>83</v>
      </c>
      <c r="AF34" s="24" t="n">
        <f aca="false">ROUND(100*(1-SQRT(((S34-'포지션 정의'!$N$6)^2+(T34-'포지션 정의'!$O$6)^2+(U34-'포지션 정의'!$P$6)^2)/3)/'판정 기준'!$B$7),0)</f>
        <v>73</v>
      </c>
      <c r="AG34" s="24" t="n">
        <f aca="false">ROUND(100*(1-SQRT(((S34-'포지션 정의'!$N$7)^2+(T34-'포지션 정의'!$O$7)^2+(U34-'포지션 정의'!$P$7)^2)/3)/'판정 기준'!$B$7),0)</f>
        <v>78</v>
      </c>
      <c r="AH34" s="24" t="n">
        <f aca="false">ROUND(100*(1-SQRT(((S34-'포지션 정의'!$N$8)^2+(T34-'포지션 정의'!$O$8)^2+(U34-'포지션 정의'!$P$8)^2)/3)/'판정 기준'!$B$7),0)</f>
        <v>65</v>
      </c>
      <c r="AI34" s="24" t="n">
        <f aca="false">ROUND(100*(1-SQRT(((S34-'포지션 정의'!$N$9)^2+(T34-'포지션 정의'!$O$9)^2+(U34-'포지션 정의'!$P$9)^2)/3)/'판정 기준'!$B$7),0)</f>
        <v>91</v>
      </c>
      <c r="AJ34" s="23" t="str">
        <f aca="false">IF(G34&gt;='판정 기준'!$B$8,"경기긴장도, ","")&amp;IF(Q34&gt;='판정 기준'!$B$8,"사회적 도움 활용, ","")&amp;IF(K34&gt;='판정 기준'!$B$8,"경기 준비 능력, ","")&amp;IF(N34&gt;='판정 기준'!$B$8,"실수 후 회복력, ","")&amp;IF(P34&gt;='판정 기준'!$B$8,"자기 통제력, ","")</f>
        <v>경기긴장도, 사회적 도움 활용, 경기 준비 능력, 실수 후 회복력, 자기 통제력, </v>
      </c>
      <c r="AK34" s="23" t="n">
        <f aca="false">IF(AND(G34&lt;'판정 기준'!$B$8,OR(AJ34&lt;&gt;"",AP34&lt;&gt;"경기긴장도")),G34,0)</f>
        <v>0</v>
      </c>
      <c r="AL34" s="23" t="n">
        <f aca="false">IF(AND(Q34&lt;'판정 기준'!$B$8,OR(AJ34&lt;&gt;"",AP34&lt;&gt;"사회적 도움 활용")),Q34,0)</f>
        <v>0</v>
      </c>
      <c r="AM34" s="23" t="n">
        <f aca="false">IF(AND(K34&lt;'판정 기준'!$B$8,OR(AJ34&lt;&gt;"",AP34&lt;&gt;"경기 준비 능력")),K34,0)</f>
        <v>0</v>
      </c>
      <c r="AN34" s="23" t="n">
        <f aca="false">IF(AND(N34&lt;'판정 기준'!$B$8,OR(AJ34&lt;&gt;"",AP34&lt;&gt;"실수 후 회복력")),N34,0)</f>
        <v>0</v>
      </c>
      <c r="AO34" s="23" t="n">
        <f aca="false">IF(AND(P34&lt;'판정 기준'!$B$8,OR(AJ34&lt;&gt;"",AP34&lt;&gt;"자기 통제력")),P34,0)</f>
        <v>0</v>
      </c>
      <c r="AP34" s="23" t="str">
        <f aca="false">IF(Q34=MAX(G34,Q34,K34,N34,P34),"사회적 도움 활용",IF(P34=MAX(G34,Q34,K34,N34,P34),"자기 통제력",IF(G34=MAX(G34,Q34,K34,N34,P34),"경기긴장도",IF(K34=MAX(G34,Q34,K34,N34,P34),"경기 준비 능력","실수 후 회복력"))))</f>
        <v>사회적 도움 활용</v>
      </c>
    </row>
    <row r="35" customFormat="false" ht="17.15" hidden="false" customHeight="false" outlineLevel="0" collapsed="false">
      <c r="A35" s="13" t="s">
        <v>238</v>
      </c>
      <c r="B35" s="13" t="s">
        <v>187</v>
      </c>
      <c r="C35" s="13" t="s">
        <v>239</v>
      </c>
      <c r="D35" s="14" t="n">
        <v>46214</v>
      </c>
      <c r="E35" s="41" t="s">
        <v>189</v>
      </c>
      <c r="F35" s="42" t="n">
        <v>4.3</v>
      </c>
      <c r="G35" s="42" t="n">
        <v>4.1</v>
      </c>
      <c r="H35" s="42" t="n">
        <v>3.7</v>
      </c>
      <c r="I35" s="42" t="n">
        <v>4.6</v>
      </c>
      <c r="J35" s="42" t="n">
        <v>4.2</v>
      </c>
      <c r="K35" s="42" t="n">
        <v>3.8</v>
      </c>
      <c r="L35" s="42" t="n">
        <v>3.8</v>
      </c>
      <c r="M35" s="42" t="n">
        <v>3.9</v>
      </c>
      <c r="N35" s="42" t="n">
        <v>5.7</v>
      </c>
      <c r="O35" s="42" t="n">
        <v>5.7</v>
      </c>
      <c r="P35" s="42" t="n">
        <v>3.3</v>
      </c>
      <c r="Q35" s="42" t="n">
        <v>4.4</v>
      </c>
      <c r="R35" s="42" t="n">
        <v>5.3</v>
      </c>
      <c r="S35" s="37" t="n">
        <f aca="false">AVERAGE(G35:J35)</f>
        <v>4.15</v>
      </c>
      <c r="T35" s="37" t="n">
        <f aca="false">AVERAGE(K35:M35)</f>
        <v>3.83333333333333</v>
      </c>
      <c r="U35" s="37" t="n">
        <f aca="false">AVERAGE(N35:O35)</f>
        <v>5.7</v>
      </c>
      <c r="V35" s="23" t="str">
        <f aca="false">IF(S35&gt;='판정 기준'!$B$3,"H","L")&amp;IF(T35&gt;='판정 기준'!$B$3,"H","L")&amp;IF(U35&gt;='판정 기준'!$B$3,"H","L")</f>
        <v>LLH</v>
      </c>
      <c r="W35" s="36" t="str">
        <f aca="false">INDEX('포지션 정의'!$A$2:$A$9,MATCH(V35,'포지션 정의'!$D$2:$D$9,0))</f>
        <v>E</v>
      </c>
      <c r="X35" s="36" t="str">
        <f aca="false">INDEX('포지션 정의'!$B$2:$B$9,MATCH(V35,'포지션 정의'!$D$2:$D$9,0))</f>
        <v>오뚝이 회복형</v>
      </c>
      <c r="Y35" s="43" t="str">
        <f aca="false">IF(AJ35="","가장 높은 지표: "&amp;AP35,LEFT(AJ35,LEN(AJ35)-2))</f>
        <v>실수 후 회복력</v>
      </c>
      <c r="Z35" s="43" t="str">
        <f aca="false">IF(MAX(AK35:AO35)=0,"심화: "&amp;IF(N35=MIN(G35,Q35,K35,N35,P35),"실수 후 회복력",IF(K35=MIN(G35,Q35,K35,N35,P35),"경기 준비 능력",IF(G35=MIN(G35,Q35,K35,N35,P35),"경기긴장도",IF(P35=MIN(G35,Q35,K35,N35,P35),"자기 통제력","사회적 도움 활용")))),IF(MAX(AK35:AO35)&gt;='판정 기준'!$B$8-'판정 기준'!$B$4,IF(AN35=MAX(AK35:AO35),"실수 후 회복력",IF(AM35=MAX(AK35:AO35),"경기 준비 능력",IF(AK35=MAX(AK35:AO35),"경기긴장도",IF(AO35=MAX(AK35:AO35),"자기 통제력","사회적 도움 활용")))),IF(AN35&gt;0,"실수 후 회복력",IF(AM35&gt;0,"경기 준비 능력",IF(AK35&gt;0,"경기긴장도",IF(AO35&gt;0,"자기 통제력","사회적 도움 활용"))))))</f>
        <v>경기 준비 능력</v>
      </c>
      <c r="AA35" s="43" t="str">
        <f aca="false">INDEX('포지션 정의'!$L$2:$L$9,MATCH(V35,'포지션 정의'!$D$2:$D$9,0))</f>
        <v>올리비에 지루 · 디에고 포를란 · 라다멜 팔카오</v>
      </c>
      <c r="AB35" s="24" t="n">
        <f aca="false">ROUND(100*(1-SQRT(((S35-'포지션 정의'!$N$2)^2+(T35-'포지션 정의'!$O$2)^2+(U35-'포지션 정의'!$P$2)^2)/3)/'판정 기준'!$B$7),0)</f>
        <v>73</v>
      </c>
      <c r="AC35" s="24" t="n">
        <f aca="false">ROUND(100*(1-SQRT(((S35-'포지션 정의'!$N$3)^2+(T35-'포지션 정의'!$O$3)^2+(U35-'포지션 정의'!$P$3)^2)/3)/'판정 기준'!$B$7),0)</f>
        <v>70</v>
      </c>
      <c r="AD35" s="24" t="n">
        <f aca="false">ROUND(100*(1-SQRT(((S35-'포지션 정의'!$N$4)^2+(T35-'포지션 정의'!$O$4)^2+(U35-'포지션 정의'!$P$4)^2)/3)/'판정 기준'!$B$7),0)</f>
        <v>75</v>
      </c>
      <c r="AE35" s="24" t="n">
        <f aca="false">ROUND(100*(1-SQRT(((S35-'포지션 정의'!$N$5)^2+(T35-'포지션 정의'!$O$5)^2+(U35-'포지션 정의'!$P$5)^2)/3)/'판정 기준'!$B$7),0)</f>
        <v>87</v>
      </c>
      <c r="AF35" s="24" t="n">
        <f aca="false">ROUND(100*(1-SQRT(((S35-'포지션 정의'!$N$6)^2+(T35-'포지션 정의'!$O$6)^2+(U35-'포지션 정의'!$P$6)^2)/3)/'판정 기준'!$B$7),0)</f>
        <v>93</v>
      </c>
      <c r="AG35" s="24" t="n">
        <f aca="false">ROUND(100*(1-SQRT(((S35-'포지션 정의'!$N$7)^2+(T35-'포지션 정의'!$O$7)^2+(U35-'포지션 정의'!$P$7)^2)/3)/'판정 기준'!$B$7),0)</f>
        <v>83</v>
      </c>
      <c r="AH35" s="24" t="n">
        <f aca="false">ROUND(100*(1-SQRT(((S35-'포지션 정의'!$N$8)^2+(T35-'포지션 정의'!$O$8)^2+(U35-'포지션 정의'!$P$8)^2)/3)/'판정 기준'!$B$7),0)</f>
        <v>78</v>
      </c>
      <c r="AI35" s="24" t="n">
        <f aca="false">ROUND(100*(1-SQRT(((S35-'포지션 정의'!$N$9)^2+(T35-'포지션 정의'!$O$9)^2+(U35-'포지션 정의'!$P$9)^2)/3)/'판정 기준'!$B$7),0)</f>
        <v>79</v>
      </c>
      <c r="AJ35" s="23" t="str">
        <f aca="false">IF(G35&gt;='판정 기준'!$B$8,"경기긴장도, ","")&amp;IF(Q35&gt;='판정 기준'!$B$8,"사회적 도움 활용, ","")&amp;IF(K35&gt;='판정 기준'!$B$8,"경기 준비 능력, ","")&amp;IF(N35&gt;='판정 기준'!$B$8,"실수 후 회복력, ","")&amp;IF(P35&gt;='판정 기준'!$B$8,"자기 통제력, ","")</f>
        <v>실수 후 회복력, </v>
      </c>
      <c r="AK35" s="23" t="n">
        <f aca="false">IF(AND(G35&lt;'판정 기준'!$B$8,OR(AJ35&lt;&gt;"",AP35&lt;&gt;"경기긴장도")),G35,0)</f>
        <v>4.1</v>
      </c>
      <c r="AL35" s="23" t="n">
        <f aca="false">IF(AND(Q35&lt;'판정 기준'!$B$8,OR(AJ35&lt;&gt;"",AP35&lt;&gt;"사회적 도움 활용")),Q35,0)</f>
        <v>4.4</v>
      </c>
      <c r="AM35" s="23" t="n">
        <f aca="false">IF(AND(K35&lt;'판정 기준'!$B$8,OR(AJ35&lt;&gt;"",AP35&lt;&gt;"경기 준비 능력")),K35,0)</f>
        <v>3.8</v>
      </c>
      <c r="AN35" s="23" t="n">
        <f aca="false">IF(AND(N35&lt;'판정 기준'!$B$8,OR(AJ35&lt;&gt;"",AP35&lt;&gt;"실수 후 회복력")),N35,0)</f>
        <v>0</v>
      </c>
      <c r="AO35" s="23" t="n">
        <f aca="false">IF(AND(P35&lt;'판정 기준'!$B$8,OR(AJ35&lt;&gt;"",AP35&lt;&gt;"자기 통제력")),P35,0)</f>
        <v>3.3</v>
      </c>
      <c r="AP35" s="23" t="str">
        <f aca="false">IF(Q35=MAX(G35,Q35,K35,N35,P35),"사회적 도움 활용",IF(P35=MAX(G35,Q35,K35,N35,P35),"자기 통제력",IF(G35=MAX(G35,Q35,K35,N35,P35),"경기긴장도",IF(K35=MAX(G35,Q35,K35,N35,P35),"경기 준비 능력","실수 후 회복력"))))</f>
        <v>실수 후 회복력</v>
      </c>
    </row>
    <row r="36" customFormat="false" ht="17.15" hidden="false" customHeight="false" outlineLevel="0" collapsed="false">
      <c r="A36" s="13" t="s">
        <v>240</v>
      </c>
      <c r="B36" s="13" t="s">
        <v>187</v>
      </c>
      <c r="C36" s="13" t="s">
        <v>241</v>
      </c>
      <c r="D36" s="14" t="n">
        <v>46214</v>
      </c>
      <c r="E36" s="41" t="s">
        <v>193</v>
      </c>
      <c r="F36" s="42" t="n">
        <v>4.5</v>
      </c>
      <c r="G36" s="42" t="n">
        <v>4.1</v>
      </c>
      <c r="H36" s="42" t="n">
        <v>4.3</v>
      </c>
      <c r="I36" s="42" t="n">
        <v>4.6</v>
      </c>
      <c r="J36" s="42" t="n">
        <v>3.8</v>
      </c>
      <c r="K36" s="42" t="n">
        <v>5</v>
      </c>
      <c r="L36" s="42" t="n">
        <v>5</v>
      </c>
      <c r="M36" s="42" t="n">
        <v>5</v>
      </c>
      <c r="N36" s="42" t="n">
        <v>4.4</v>
      </c>
      <c r="O36" s="42" t="n">
        <v>4.3</v>
      </c>
      <c r="P36" s="42" t="n">
        <v>4.5</v>
      </c>
      <c r="Q36" s="42" t="n">
        <v>4.4</v>
      </c>
      <c r="R36" s="42" t="n">
        <v>5</v>
      </c>
      <c r="S36" s="37" t="n">
        <f aca="false">AVERAGE(G36:J36)</f>
        <v>4.2</v>
      </c>
      <c r="T36" s="37" t="n">
        <f aca="false">AVERAGE(K36:M36)</f>
        <v>5</v>
      </c>
      <c r="U36" s="37" t="n">
        <f aca="false">AVERAGE(N36:O36)</f>
        <v>4.35</v>
      </c>
      <c r="V36" s="23" t="str">
        <f aca="false">IF(S36&gt;='판정 기준'!$B$3,"H","L")&amp;IF(T36&gt;='판정 기준'!$B$3,"H","L")&amp;IF(U36&gt;='판정 기준'!$B$3,"H","L")</f>
        <v>LHL</v>
      </c>
      <c r="W36" s="36" t="str">
        <f aca="false">INDEX('포지션 정의'!$A$2:$A$9,MATCH(V36,'포지션 정의'!$D$2:$D$9,0))</f>
        <v>A</v>
      </c>
      <c r="X36" s="36" t="str">
        <f aca="false">INDEX('포지션 정의'!$B$2:$B$9,MATCH(V36,'포지션 정의'!$D$2:$D$9,0))</f>
        <v>섬세한 준비형</v>
      </c>
      <c r="Y36" s="43" t="str">
        <f aca="false">IF(AJ36="","가장 높은 지표: "&amp;AP36,LEFT(AJ36,LEN(AJ36)-2))</f>
        <v>경기 준비 능력</v>
      </c>
      <c r="Z36" s="43" t="str">
        <f aca="false">IF(MAX(AK36:AO36)=0,"심화: "&amp;IF(N36=MIN(G36,Q36,K36,N36,P36),"실수 후 회복력",IF(K36=MIN(G36,Q36,K36,N36,P36),"경기 준비 능력",IF(G36=MIN(G36,Q36,K36,N36,P36),"경기긴장도",IF(P36=MIN(G36,Q36,K36,N36,P36),"자기 통제력","사회적 도움 활용")))),IF(MAX(AK36:AO36)&gt;='판정 기준'!$B$8-'판정 기준'!$B$4,IF(AN36=MAX(AK36:AO36),"실수 후 회복력",IF(AM36=MAX(AK36:AO36),"경기 준비 능력",IF(AK36=MAX(AK36:AO36),"경기긴장도",IF(AO36=MAX(AK36:AO36),"자기 통제력","사회적 도움 활용")))),IF(AN36&gt;0,"실수 후 회복력",IF(AM36&gt;0,"경기 준비 능력",IF(AK36&gt;0,"경기긴장도",IF(AO36&gt;0,"자기 통제력","사회적 도움 활용"))))))</f>
        <v>자기 통제력</v>
      </c>
      <c r="AA36" s="43" t="str">
        <f aca="false">INDEX('포지션 정의'!$L$2:$L$9,MATCH(V36,'포지션 정의'!$D$2:$D$9,0))</f>
        <v>로베르트 레반도프스키 · 제임스 밀너 · 마르틴 외데고르</v>
      </c>
      <c r="AB36" s="24" t="n">
        <f aca="false">ROUND(100*(1-SQRT(((S36-'포지션 정의'!$N$2)^2+(T36-'포지션 정의'!$O$2)^2+(U36-'포지션 정의'!$P$2)^2)/3)/'판정 기준'!$B$7),0)</f>
        <v>92</v>
      </c>
      <c r="AC36" s="24" t="n">
        <f aca="false">ROUND(100*(1-SQRT(((S36-'포지션 정의'!$N$3)^2+(T36-'포지션 정의'!$O$3)^2+(U36-'포지션 정의'!$P$3)^2)/3)/'판정 기준'!$B$7),0)</f>
        <v>87</v>
      </c>
      <c r="AD36" s="24" t="n">
        <f aca="false">ROUND(100*(1-SQRT(((S36-'포지션 정의'!$N$4)^2+(T36-'포지션 정의'!$O$4)^2+(U36-'포지션 정의'!$P$4)^2)/3)/'판정 기준'!$B$7),0)</f>
        <v>81</v>
      </c>
      <c r="AE36" s="24" t="n">
        <f aca="false">ROUND(100*(1-SQRT(((S36-'포지션 정의'!$N$5)^2+(T36-'포지션 정의'!$O$5)^2+(U36-'포지션 정의'!$P$5)^2)/3)/'판정 기준'!$B$7),0)</f>
        <v>79</v>
      </c>
      <c r="AF36" s="24" t="n">
        <f aca="false">ROUND(100*(1-SQRT(((S36-'포지션 정의'!$N$6)^2+(T36-'포지션 정의'!$O$6)^2+(U36-'포지션 정의'!$P$6)^2)/3)/'판정 기준'!$B$7),0)</f>
        <v>82</v>
      </c>
      <c r="AG36" s="24" t="n">
        <f aca="false">ROUND(100*(1-SQRT(((S36-'포지션 정의'!$N$7)^2+(T36-'포지션 정의'!$O$7)^2+(U36-'포지션 정의'!$P$7)^2)/3)/'판정 기준'!$B$7),0)</f>
        <v>89</v>
      </c>
      <c r="AH36" s="24" t="n">
        <f aca="false">ROUND(100*(1-SQRT(((S36-'포지션 정의'!$N$8)^2+(T36-'포지션 정의'!$O$8)^2+(U36-'포지션 정의'!$P$8)^2)/3)/'판정 기준'!$B$7),0)</f>
        <v>84</v>
      </c>
      <c r="AI36" s="24" t="n">
        <f aca="false">ROUND(100*(1-SQRT(((S36-'포지션 정의'!$N$9)^2+(T36-'포지션 정의'!$O$9)^2+(U36-'포지션 정의'!$P$9)^2)/3)/'판정 기준'!$B$7),0)</f>
        <v>85</v>
      </c>
      <c r="AJ36" s="23" t="str">
        <f aca="false">IF(G36&gt;='판정 기준'!$B$8,"경기긴장도, ","")&amp;IF(Q36&gt;='판정 기준'!$B$8,"사회적 도움 활용, ","")&amp;IF(K36&gt;='판정 기준'!$B$8,"경기 준비 능력, ","")&amp;IF(N36&gt;='판정 기준'!$B$8,"실수 후 회복력, ","")&amp;IF(P36&gt;='판정 기준'!$B$8,"자기 통제력, ","")</f>
        <v>경기 준비 능력, </v>
      </c>
      <c r="AK36" s="23" t="n">
        <f aca="false">IF(AND(G36&lt;'판정 기준'!$B$8,OR(AJ36&lt;&gt;"",AP36&lt;&gt;"경기긴장도")),G36,0)</f>
        <v>4.1</v>
      </c>
      <c r="AL36" s="23" t="n">
        <f aca="false">IF(AND(Q36&lt;'판정 기준'!$B$8,OR(AJ36&lt;&gt;"",AP36&lt;&gt;"사회적 도움 활용")),Q36,0)</f>
        <v>4.4</v>
      </c>
      <c r="AM36" s="23" t="n">
        <f aca="false">IF(AND(K36&lt;'판정 기준'!$B$8,OR(AJ36&lt;&gt;"",AP36&lt;&gt;"경기 준비 능력")),K36,0)</f>
        <v>0</v>
      </c>
      <c r="AN36" s="23" t="n">
        <f aca="false">IF(AND(N36&lt;'판정 기준'!$B$8,OR(AJ36&lt;&gt;"",AP36&lt;&gt;"실수 후 회복력")),N36,0)</f>
        <v>4.4</v>
      </c>
      <c r="AO36" s="23" t="n">
        <f aca="false">IF(AND(P36&lt;'판정 기준'!$B$8,OR(AJ36&lt;&gt;"",AP36&lt;&gt;"자기 통제력")),P36,0)</f>
        <v>4.5</v>
      </c>
      <c r="AP36" s="23" t="str">
        <f aca="false">IF(Q36=MAX(G36,Q36,K36,N36,P36),"사회적 도움 활용",IF(P36=MAX(G36,Q36,K36,N36,P36),"자기 통제력",IF(G36=MAX(G36,Q36,K36,N36,P36),"경기긴장도",IF(K36=MAX(G36,Q36,K36,N36,P36),"경기 준비 능력","실수 후 회복력"))))</f>
        <v>경기 준비 능력</v>
      </c>
    </row>
    <row r="37" customFormat="false" ht="17.15" hidden="false" customHeight="false" outlineLevel="0" collapsed="false">
      <c r="A37" s="13" t="s">
        <v>242</v>
      </c>
      <c r="B37" s="13" t="s">
        <v>187</v>
      </c>
      <c r="C37" s="13" t="s">
        <v>226</v>
      </c>
      <c r="D37" s="14" t="n">
        <v>46214</v>
      </c>
      <c r="E37" s="41" t="s">
        <v>195</v>
      </c>
      <c r="F37" s="42" t="n">
        <v>4.1</v>
      </c>
      <c r="G37" s="42" t="n">
        <v>3.9</v>
      </c>
      <c r="H37" s="42" t="n">
        <v>4</v>
      </c>
      <c r="I37" s="42" t="n">
        <v>4.4</v>
      </c>
      <c r="J37" s="42" t="n">
        <v>3.7</v>
      </c>
      <c r="K37" s="42" t="n">
        <v>4</v>
      </c>
      <c r="L37" s="42" t="n">
        <v>4</v>
      </c>
      <c r="M37" s="42" t="n">
        <v>4</v>
      </c>
      <c r="N37" s="42" t="n">
        <v>4.3</v>
      </c>
      <c r="O37" s="42" t="n">
        <v>4.7</v>
      </c>
      <c r="P37" s="42" t="n">
        <v>4.3</v>
      </c>
      <c r="Q37" s="42" t="n">
        <v>5.4</v>
      </c>
      <c r="R37" s="42" t="n">
        <v>5.3</v>
      </c>
      <c r="S37" s="37" t="n">
        <f aca="false">AVERAGE(G37:J37)</f>
        <v>4</v>
      </c>
      <c r="T37" s="37" t="n">
        <f aca="false">AVERAGE(K37:M37)</f>
        <v>4</v>
      </c>
      <c r="U37" s="37" t="n">
        <f aca="false">AVERAGE(N37:O37)</f>
        <v>4.5</v>
      </c>
      <c r="V37" s="23" t="str">
        <f aca="false">IF(S37&gt;='판정 기준'!$B$3,"H","L")&amp;IF(T37&gt;='판정 기준'!$B$3,"H","L")&amp;IF(U37&gt;='판정 기준'!$B$3,"H","L")</f>
        <v>LLH</v>
      </c>
      <c r="W37" s="36" t="str">
        <f aca="false">INDEX('포지션 정의'!$A$2:$A$9,MATCH(V37,'포지션 정의'!$D$2:$D$9,0))</f>
        <v>E</v>
      </c>
      <c r="X37" s="36" t="str">
        <f aca="false">INDEX('포지션 정의'!$B$2:$B$9,MATCH(V37,'포지션 정의'!$D$2:$D$9,0))</f>
        <v>오뚝이 회복형</v>
      </c>
      <c r="Y37" s="43" t="str">
        <f aca="false">IF(AJ37="","가장 높은 지표: "&amp;AP37,LEFT(AJ37,LEN(AJ37)-2))</f>
        <v>사회적 도움 활용</v>
      </c>
      <c r="Z37" s="43" t="str">
        <f aca="false">IF(MAX(AK37:AO37)=0,"심화: "&amp;IF(N37=MIN(G37,Q37,K37,N37,P37),"실수 후 회복력",IF(K37=MIN(G37,Q37,K37,N37,P37),"경기 준비 능력",IF(G37=MIN(G37,Q37,K37,N37,P37),"경기긴장도",IF(P37=MIN(G37,Q37,K37,N37,P37),"자기 통제력","사회적 도움 활용")))),IF(MAX(AK37:AO37)&gt;='판정 기준'!$B$8-'판정 기준'!$B$4,IF(AN37=MAX(AK37:AO37),"실수 후 회복력",IF(AM37=MAX(AK37:AO37),"경기 준비 능력",IF(AK37=MAX(AK37:AO37),"경기긴장도",IF(AO37=MAX(AK37:AO37),"자기 통제력","사회적 도움 활용")))),IF(AN37&gt;0,"실수 후 회복력",IF(AM37&gt;0,"경기 준비 능력",IF(AK37&gt;0,"경기긴장도",IF(AO37&gt;0,"자기 통제력","사회적 도움 활용"))))))</f>
        <v>실수 후 회복력</v>
      </c>
      <c r="AA37" s="43" t="str">
        <f aca="false">INDEX('포지션 정의'!$L$2:$L$9,MATCH(V37,'포지션 정의'!$D$2:$D$9,0))</f>
        <v>올리비에 지루 · 디에고 포를란 · 라다멜 팔카오</v>
      </c>
      <c r="AB37" s="24" t="n">
        <f aca="false">ROUND(100*(1-SQRT(((S37-'포지션 정의'!$N$2)^2+(T37-'포지션 정의'!$O$2)^2+(U37-'포지션 정의'!$P$2)^2)/3)/'판정 기준'!$B$7),0)</f>
        <v>84</v>
      </c>
      <c r="AC37" s="24" t="n">
        <f aca="false">ROUND(100*(1-SQRT(((S37-'포지션 정의'!$N$3)^2+(T37-'포지션 정의'!$O$3)^2+(U37-'포지션 정의'!$P$3)^2)/3)/'판정 기준'!$B$7),0)</f>
        <v>79</v>
      </c>
      <c r="AD37" s="24" t="n">
        <f aca="false">ROUND(100*(1-SQRT(((S37-'포지션 정의'!$N$4)^2+(T37-'포지션 정의'!$O$4)^2+(U37-'포지션 정의'!$P$4)^2)/3)/'판정 기준'!$B$7),0)</f>
        <v>84</v>
      </c>
      <c r="AE37" s="24" t="n">
        <f aca="false">ROUND(100*(1-SQRT(((S37-'포지션 정의'!$N$5)^2+(T37-'포지션 정의'!$O$5)^2+(U37-'포지션 정의'!$P$5)^2)/3)/'판정 기준'!$B$7),0)</f>
        <v>84</v>
      </c>
      <c r="AF37" s="24" t="n">
        <f aca="false">ROUND(100*(1-SQRT(((S37-'포지션 정의'!$N$6)^2+(T37-'포지션 정의'!$O$6)^2+(U37-'포지션 정의'!$P$6)^2)/3)/'판정 기준'!$B$7),0)</f>
        <v>91</v>
      </c>
      <c r="AG37" s="24" t="n">
        <f aca="false">ROUND(100*(1-SQRT(((S37-'포지션 정의'!$N$7)^2+(T37-'포지션 정의'!$O$7)^2+(U37-'포지션 정의'!$P$7)^2)/3)/'판정 기준'!$B$7),0)</f>
        <v>84</v>
      </c>
      <c r="AH37" s="24" t="n">
        <f aca="false">ROUND(100*(1-SQRT(((S37-'포지션 정의'!$N$8)^2+(T37-'포지션 정의'!$O$8)^2+(U37-'포지션 정의'!$P$8)^2)/3)/'판정 기준'!$B$7),0)</f>
        <v>91</v>
      </c>
      <c r="AI37" s="24" t="n">
        <f aca="false">ROUND(100*(1-SQRT(((S37-'포지션 정의'!$N$9)^2+(T37-'포지션 정의'!$O$9)^2+(U37-'포지션 정의'!$P$9)^2)/3)/'판정 기준'!$B$7),0)</f>
        <v>79</v>
      </c>
      <c r="AJ37" s="23" t="str">
        <f aca="false">IF(G37&gt;='판정 기준'!$B$8,"경기긴장도, ","")&amp;IF(Q37&gt;='판정 기준'!$B$8,"사회적 도움 활용, ","")&amp;IF(K37&gt;='판정 기준'!$B$8,"경기 준비 능력, ","")&amp;IF(N37&gt;='판정 기준'!$B$8,"실수 후 회복력, ","")&amp;IF(P37&gt;='판정 기준'!$B$8,"자기 통제력, ","")</f>
        <v>사회적 도움 활용, </v>
      </c>
      <c r="AK37" s="23" t="n">
        <f aca="false">IF(AND(G37&lt;'판정 기준'!$B$8,OR(AJ37&lt;&gt;"",AP37&lt;&gt;"경기긴장도")),G37,0)</f>
        <v>3.9</v>
      </c>
      <c r="AL37" s="23" t="n">
        <f aca="false">IF(AND(Q37&lt;'판정 기준'!$B$8,OR(AJ37&lt;&gt;"",AP37&lt;&gt;"사회적 도움 활용")),Q37,0)</f>
        <v>0</v>
      </c>
      <c r="AM37" s="23" t="n">
        <f aca="false">IF(AND(K37&lt;'판정 기준'!$B$8,OR(AJ37&lt;&gt;"",AP37&lt;&gt;"경기 준비 능력")),K37,0)</f>
        <v>4</v>
      </c>
      <c r="AN37" s="23" t="n">
        <f aca="false">IF(AND(N37&lt;'판정 기준'!$B$8,OR(AJ37&lt;&gt;"",AP37&lt;&gt;"실수 후 회복력")),N37,0)</f>
        <v>4.3</v>
      </c>
      <c r="AO37" s="23" t="n">
        <f aca="false">IF(AND(P37&lt;'판정 기준'!$B$8,OR(AJ37&lt;&gt;"",AP37&lt;&gt;"자기 통제력")),P37,0)</f>
        <v>4.3</v>
      </c>
      <c r="AP37" s="23" t="str">
        <f aca="false">IF(Q37=MAX(G37,Q37,K37,N37,P37),"사회적 도움 활용",IF(P37=MAX(G37,Q37,K37,N37,P37),"자기 통제력",IF(G37=MAX(G37,Q37,K37,N37,P37),"경기긴장도",IF(K37=MAX(G37,Q37,K37,N37,P37),"경기 준비 능력","실수 후 회복력"))))</f>
        <v>사회적 도움 활용</v>
      </c>
    </row>
    <row r="38" customFormat="false" ht="17.15" hidden="false" customHeight="false" outlineLevel="0" collapsed="false">
      <c r="A38" s="13" t="s">
        <v>243</v>
      </c>
      <c r="B38" s="13" t="s">
        <v>187</v>
      </c>
      <c r="C38" s="13" t="s">
        <v>244</v>
      </c>
      <c r="D38" s="14" t="n">
        <v>46214</v>
      </c>
      <c r="E38" s="41" t="s">
        <v>189</v>
      </c>
      <c r="F38" s="42" t="n">
        <v>4.7</v>
      </c>
      <c r="G38" s="42" t="n">
        <v>5.1</v>
      </c>
      <c r="H38" s="42" t="n">
        <v>5.2</v>
      </c>
      <c r="I38" s="42" t="n">
        <v>5.4</v>
      </c>
      <c r="J38" s="42" t="n">
        <v>4.8</v>
      </c>
      <c r="K38" s="42" t="n">
        <v>3.5</v>
      </c>
      <c r="L38" s="42" t="n">
        <v>3.3</v>
      </c>
      <c r="M38" s="42" t="n">
        <v>3.6</v>
      </c>
      <c r="N38" s="42" t="n">
        <v>5.6</v>
      </c>
      <c r="O38" s="42" t="n">
        <v>5.7</v>
      </c>
      <c r="P38" s="42" t="n">
        <v>4.5</v>
      </c>
      <c r="Q38" s="42" t="n">
        <v>5.4</v>
      </c>
      <c r="R38" s="42" t="n">
        <v>5.7</v>
      </c>
      <c r="S38" s="37" t="n">
        <f aca="false">AVERAGE(G38:J38)</f>
        <v>5.125</v>
      </c>
      <c r="T38" s="37" t="n">
        <f aca="false">AVERAGE(K38:M38)</f>
        <v>3.46666666666667</v>
      </c>
      <c r="U38" s="37" t="n">
        <f aca="false">AVERAGE(N38:O38)</f>
        <v>5.65</v>
      </c>
      <c r="V38" s="23" t="str">
        <f aca="false">IF(S38&gt;='판정 기준'!$B$3,"H","L")&amp;IF(T38&gt;='판정 기준'!$B$3,"H","L")&amp;IF(U38&gt;='판정 기준'!$B$3,"H","L")</f>
        <v>HLH</v>
      </c>
      <c r="W38" s="36" t="str">
        <f aca="false">INDEX('포지션 정의'!$A$2:$A$9,MATCH(V38,'포지션 정의'!$D$2:$D$9,0))</f>
        <v>D</v>
      </c>
      <c r="X38" s="36" t="str">
        <f aca="false">INDEX('포지션 정의'!$B$2:$B$9,MATCH(V38,'포지션 정의'!$D$2:$D$9,0))</f>
        <v>실전 승부사형</v>
      </c>
      <c r="Y38" s="43" t="str">
        <f aca="false">IF(AJ38="","가장 높은 지표: "&amp;AP38,LEFT(AJ38,LEN(AJ38)-2))</f>
        <v>경기긴장도, 사회적 도움 활용, 실수 후 회복력</v>
      </c>
      <c r="Z38" s="43" t="str">
        <f aca="false">IF(MAX(AK38:AO38)=0,"심화: "&amp;IF(N38=MIN(G38,Q38,K38,N38,P38),"실수 후 회복력",IF(K38=MIN(G38,Q38,K38,N38,P38),"경기 준비 능력",IF(G38=MIN(G38,Q38,K38,N38,P38),"경기긴장도",IF(P38=MIN(G38,Q38,K38,N38,P38),"자기 통제력","사회적 도움 활용")))),IF(MAX(AK38:AO38)&gt;='판정 기준'!$B$8-'판정 기준'!$B$4,IF(AN38=MAX(AK38:AO38),"실수 후 회복력",IF(AM38=MAX(AK38:AO38),"경기 준비 능력",IF(AK38=MAX(AK38:AO38),"경기긴장도",IF(AO38=MAX(AK38:AO38),"자기 통제력","사회적 도움 활용")))),IF(AN38&gt;0,"실수 후 회복력",IF(AM38&gt;0,"경기 준비 능력",IF(AK38&gt;0,"경기긴장도",IF(AO38&gt;0,"자기 통제력","사회적 도움 활용"))))))</f>
        <v>자기 통제력</v>
      </c>
      <c r="AA38" s="43" t="str">
        <f aca="false">INDEX('포지션 정의'!$L$2:$L$9,MATCH(V38,'포지션 정의'!$D$2:$D$9,0))</f>
        <v>즐라탄 이브라히모비치 · 호나우지뉴 · 디에고 마라도나</v>
      </c>
      <c r="AB38" s="24" t="n">
        <f aca="false">ROUND(100*(1-SQRT(((S38-'포지션 정의'!$N$2)^2+(T38-'포지션 정의'!$O$2)^2+(U38-'포지션 정의'!$P$2)^2)/3)/'판정 기준'!$B$7),0)</f>
        <v>67</v>
      </c>
      <c r="AC38" s="24" t="n">
        <f aca="false">ROUND(100*(1-SQRT(((S38-'포지션 정의'!$N$3)^2+(T38-'포지션 정의'!$O$3)^2+(U38-'포지션 정의'!$P$3)^2)/3)/'판정 기준'!$B$7),0)</f>
        <v>71</v>
      </c>
      <c r="AD38" s="24" t="n">
        <f aca="false">ROUND(100*(1-SQRT(((S38-'포지션 정의'!$N$4)^2+(T38-'포지션 정의'!$O$4)^2+(U38-'포지션 정의'!$P$4)^2)/3)/'판정 기준'!$B$7),0)</f>
        <v>78</v>
      </c>
      <c r="AE38" s="24" t="n">
        <f aca="false">ROUND(100*(1-SQRT(((S38-'포지션 정의'!$N$5)^2+(T38-'포지션 정의'!$O$5)^2+(U38-'포지션 정의'!$P$5)^2)/3)/'판정 기준'!$B$7),0)</f>
        <v>93</v>
      </c>
      <c r="AF38" s="24" t="n">
        <f aca="false">ROUND(100*(1-SQRT(((S38-'포지션 정의'!$N$6)^2+(T38-'포지션 정의'!$O$6)^2+(U38-'포지션 정의'!$P$6)^2)/3)/'판정 기준'!$B$7),0)</f>
        <v>83</v>
      </c>
      <c r="AG38" s="24" t="n">
        <f aca="false">ROUND(100*(1-SQRT(((S38-'포지션 정의'!$N$7)^2+(T38-'포지션 정의'!$O$7)^2+(U38-'포지션 정의'!$P$7)^2)/3)/'판정 기준'!$B$7),0)</f>
        <v>74</v>
      </c>
      <c r="AH38" s="24" t="n">
        <f aca="false">ROUND(100*(1-SQRT(((S38-'포지션 정의'!$N$8)^2+(T38-'포지션 정의'!$O$8)^2+(U38-'포지션 정의'!$P$8)^2)/3)/'판정 기준'!$B$7),0)</f>
        <v>73</v>
      </c>
      <c r="AI38" s="24" t="n">
        <f aca="false">ROUND(100*(1-SQRT(((S38-'포지션 정의'!$N$9)^2+(T38-'포지션 정의'!$O$9)^2+(U38-'포지션 정의'!$P$9)^2)/3)/'판정 기준'!$B$7),0)</f>
        <v>79</v>
      </c>
      <c r="AJ38" s="23" t="str">
        <f aca="false">IF(G38&gt;='판정 기준'!$B$8,"경기긴장도, ","")&amp;IF(Q38&gt;='판정 기준'!$B$8,"사회적 도움 활용, ","")&amp;IF(K38&gt;='판정 기준'!$B$8,"경기 준비 능력, ","")&amp;IF(N38&gt;='판정 기준'!$B$8,"실수 후 회복력, ","")&amp;IF(P38&gt;='판정 기준'!$B$8,"자기 통제력, ","")</f>
        <v>경기긴장도, 사회적 도움 활용, 실수 후 회복력, </v>
      </c>
      <c r="AK38" s="23" t="n">
        <f aca="false">IF(AND(G38&lt;'판정 기준'!$B$8,OR(AJ38&lt;&gt;"",AP38&lt;&gt;"경기긴장도")),G38,0)</f>
        <v>0</v>
      </c>
      <c r="AL38" s="23" t="n">
        <f aca="false">IF(AND(Q38&lt;'판정 기준'!$B$8,OR(AJ38&lt;&gt;"",AP38&lt;&gt;"사회적 도움 활용")),Q38,0)</f>
        <v>0</v>
      </c>
      <c r="AM38" s="23" t="n">
        <f aca="false">IF(AND(K38&lt;'판정 기준'!$B$8,OR(AJ38&lt;&gt;"",AP38&lt;&gt;"경기 준비 능력")),K38,0)</f>
        <v>3.5</v>
      </c>
      <c r="AN38" s="23" t="n">
        <f aca="false">IF(AND(N38&lt;'판정 기준'!$B$8,OR(AJ38&lt;&gt;"",AP38&lt;&gt;"실수 후 회복력")),N38,0)</f>
        <v>0</v>
      </c>
      <c r="AO38" s="23" t="n">
        <f aca="false">IF(AND(P38&lt;'판정 기준'!$B$8,OR(AJ38&lt;&gt;"",AP38&lt;&gt;"자기 통제력")),P38,0)</f>
        <v>4.5</v>
      </c>
      <c r="AP38" s="23" t="str">
        <f aca="false">IF(Q38=MAX(G38,Q38,K38,N38,P38),"사회적 도움 활용",IF(P38=MAX(G38,Q38,K38,N38,P38),"자기 통제력",IF(G38=MAX(G38,Q38,K38,N38,P38),"경기긴장도",IF(K38=MAX(G38,Q38,K38,N38,P38),"경기 준비 능력","실수 후 회복력"))))</f>
        <v>실수 후 회복력</v>
      </c>
    </row>
    <row r="39" customFormat="false" ht="17.15" hidden="false" customHeight="false" outlineLevel="0" collapsed="false">
      <c r="A39" s="13" t="s">
        <v>245</v>
      </c>
      <c r="B39" s="13" t="s">
        <v>187</v>
      </c>
      <c r="C39" s="13" t="s">
        <v>246</v>
      </c>
      <c r="D39" s="14" t="n">
        <v>46200</v>
      </c>
      <c r="E39" s="41" t="s">
        <v>193</v>
      </c>
      <c r="F39" s="42" t="n">
        <v>4.4</v>
      </c>
      <c r="G39" s="42" t="n">
        <v>4.7</v>
      </c>
      <c r="H39" s="42" t="n">
        <v>4.3</v>
      </c>
      <c r="I39" s="42" t="n">
        <v>5.2</v>
      </c>
      <c r="J39" s="42" t="n">
        <v>4.3</v>
      </c>
      <c r="K39" s="42" t="n">
        <v>5.2</v>
      </c>
      <c r="L39" s="42" t="n">
        <v>5</v>
      </c>
      <c r="M39" s="42" t="n">
        <v>5.4</v>
      </c>
      <c r="N39" s="42" t="n">
        <v>3.6</v>
      </c>
      <c r="O39" s="42" t="n">
        <v>4</v>
      </c>
      <c r="P39" s="42" t="n">
        <v>4.3</v>
      </c>
      <c r="Q39" s="42" t="n">
        <v>5.4</v>
      </c>
      <c r="R39" s="42" t="n">
        <v>6</v>
      </c>
      <c r="S39" s="37" t="n">
        <f aca="false">AVERAGE(G39:J39)</f>
        <v>4.625</v>
      </c>
      <c r="T39" s="37" t="n">
        <f aca="false">AVERAGE(K39:M39)</f>
        <v>5.2</v>
      </c>
      <c r="U39" s="37" t="n">
        <f aca="false">AVERAGE(N39:O39)</f>
        <v>3.8</v>
      </c>
      <c r="V39" s="23" t="str">
        <f aca="false">IF(S39&gt;='판정 기준'!$B$3,"H","L")&amp;IF(T39&gt;='판정 기준'!$B$3,"H","L")&amp;IF(U39&gt;='판정 기준'!$B$3,"H","L")</f>
        <v>HHL</v>
      </c>
      <c r="W39" s="36" t="str">
        <f aca="false">INDEX('포지션 정의'!$A$2:$A$9,MATCH(V39,'포지션 정의'!$D$2:$D$9,0))</f>
        <v>B</v>
      </c>
      <c r="X39" s="36" t="str">
        <f aca="false">INDEX('포지션 정의'!$B$2:$B$9,MATCH(V39,'포지션 정의'!$D$2:$D$9,0))</f>
        <v>책임감 설계자형</v>
      </c>
      <c r="Y39" s="43" t="str">
        <f aca="false">IF(AJ39="","가장 높은 지표: "&amp;AP39,LEFT(AJ39,LEN(AJ39)-2))</f>
        <v>사회적 도움 활용, 경기 준비 능력</v>
      </c>
      <c r="Z39" s="43" t="str">
        <f aca="false">IF(MAX(AK39:AO39)=0,"심화: "&amp;IF(N39=MIN(G39,Q39,K39,N39,P39),"실수 후 회복력",IF(K39=MIN(G39,Q39,K39,N39,P39),"경기 준비 능력",IF(G39=MIN(G39,Q39,K39,N39,P39),"경기긴장도",IF(P39=MIN(G39,Q39,K39,N39,P39),"자기 통제력","사회적 도움 활용")))),IF(MAX(AK39:AO39)&gt;='판정 기준'!$B$8-'판정 기준'!$B$4,IF(AN39=MAX(AK39:AO39),"실수 후 회복력",IF(AM39=MAX(AK39:AO39),"경기 준비 능력",IF(AK39=MAX(AK39:AO39),"경기긴장도",IF(AO39=MAX(AK39:AO39),"자기 통제력","사회적 도움 활용")))),IF(AN39&gt;0,"실수 후 회복력",IF(AM39&gt;0,"경기 준비 능력",IF(AK39&gt;0,"경기긴장도",IF(AO39&gt;0,"자기 통제력","사회적 도움 활용"))))))</f>
        <v>경기긴장도</v>
      </c>
      <c r="AA39" s="43" t="str">
        <f aca="false">INDEX('포지션 정의'!$L$2:$L$9,MATCH(V39,'포지션 정의'!$D$2:$D$9,0))</f>
        <v>해리 케인 · 토니 크로스 · 필립 람</v>
      </c>
      <c r="AB39" s="24" t="n">
        <f aca="false">ROUND(100*(1-SQRT(((S39-'포지션 정의'!$N$2)^2+(T39-'포지션 정의'!$O$2)^2+(U39-'포지션 정의'!$P$2)^2)/3)/'판정 기준'!$B$7),0)</f>
        <v>90</v>
      </c>
      <c r="AC39" s="24" t="n">
        <f aca="false">ROUND(100*(1-SQRT(((S39-'포지션 정의'!$N$3)^2+(T39-'포지션 정의'!$O$3)^2+(U39-'포지션 정의'!$P$3)^2)/3)/'판정 기준'!$B$7),0)</f>
        <v>93</v>
      </c>
      <c r="AD39" s="24" t="n">
        <f aca="false">ROUND(100*(1-SQRT(((S39-'포지션 정의'!$N$4)^2+(T39-'포지션 정의'!$O$4)^2+(U39-'포지션 정의'!$P$4)^2)/3)/'판정 기준'!$B$7),0)</f>
        <v>83</v>
      </c>
      <c r="AE39" s="24" t="n">
        <f aca="false">ROUND(100*(1-SQRT(((S39-'포지션 정의'!$N$5)^2+(T39-'포지션 정의'!$O$5)^2+(U39-'포지션 정의'!$P$5)^2)/3)/'판정 기준'!$B$7),0)</f>
        <v>76</v>
      </c>
      <c r="AF39" s="24" t="n">
        <f aca="false">ROUND(100*(1-SQRT(((S39-'포지션 정의'!$N$6)^2+(T39-'포지션 정의'!$O$6)^2+(U39-'포지션 정의'!$P$6)^2)/3)/'판정 기준'!$B$7),0)</f>
        <v>75</v>
      </c>
      <c r="AG39" s="24" t="n">
        <f aca="false">ROUND(100*(1-SQRT(((S39-'포지션 정의'!$N$7)^2+(T39-'포지션 정의'!$O$7)^2+(U39-'포지션 정의'!$P$7)^2)/3)/'판정 기준'!$B$7),0)</f>
        <v>81</v>
      </c>
      <c r="AH39" s="24" t="n">
        <f aca="false">ROUND(100*(1-SQRT(((S39-'포지션 정의'!$N$8)^2+(T39-'포지션 정의'!$O$8)^2+(U39-'포지션 정의'!$P$8)^2)/3)/'판정 기준'!$B$7),0)</f>
        <v>81</v>
      </c>
      <c r="AI39" s="24" t="n">
        <f aca="false">ROUND(100*(1-SQRT(((S39-'포지션 정의'!$N$9)^2+(T39-'포지션 정의'!$O$9)^2+(U39-'포지션 정의'!$P$9)^2)/3)/'판정 기준'!$B$7),0)</f>
        <v>83</v>
      </c>
      <c r="AJ39" s="23" t="str">
        <f aca="false">IF(G39&gt;='판정 기준'!$B$8,"경기긴장도, ","")&amp;IF(Q39&gt;='판정 기준'!$B$8,"사회적 도움 활용, ","")&amp;IF(K39&gt;='판정 기준'!$B$8,"경기 준비 능력, ","")&amp;IF(N39&gt;='판정 기준'!$B$8,"실수 후 회복력, ","")&amp;IF(P39&gt;='판정 기준'!$B$8,"자기 통제력, ","")</f>
        <v>사회적 도움 활용, 경기 준비 능력, </v>
      </c>
      <c r="AK39" s="23" t="n">
        <f aca="false">IF(AND(G39&lt;'판정 기준'!$B$8,OR(AJ39&lt;&gt;"",AP39&lt;&gt;"경기긴장도")),G39,0)</f>
        <v>4.7</v>
      </c>
      <c r="AL39" s="23" t="n">
        <f aca="false">IF(AND(Q39&lt;'판정 기준'!$B$8,OR(AJ39&lt;&gt;"",AP39&lt;&gt;"사회적 도움 활용")),Q39,0)</f>
        <v>0</v>
      </c>
      <c r="AM39" s="23" t="n">
        <f aca="false">IF(AND(K39&lt;'판정 기준'!$B$8,OR(AJ39&lt;&gt;"",AP39&lt;&gt;"경기 준비 능력")),K39,0)</f>
        <v>0</v>
      </c>
      <c r="AN39" s="23" t="n">
        <f aca="false">IF(AND(N39&lt;'판정 기준'!$B$8,OR(AJ39&lt;&gt;"",AP39&lt;&gt;"실수 후 회복력")),N39,0)</f>
        <v>3.6</v>
      </c>
      <c r="AO39" s="23" t="n">
        <f aca="false">IF(AND(P39&lt;'판정 기준'!$B$8,OR(AJ39&lt;&gt;"",AP39&lt;&gt;"자기 통제력")),P39,0)</f>
        <v>4.3</v>
      </c>
      <c r="AP39" s="23" t="str">
        <f aca="false">IF(Q39=MAX(G39,Q39,K39,N39,P39),"사회적 도움 활용",IF(P39=MAX(G39,Q39,K39,N39,P39),"자기 통제력",IF(G39=MAX(G39,Q39,K39,N39,P39),"경기긴장도",IF(K39=MAX(G39,Q39,K39,N39,P39),"경기 준비 능력","실수 후 회복력"))))</f>
        <v>사회적 도움 활용</v>
      </c>
    </row>
    <row r="40" customFormat="false" ht="17.15" hidden="false" customHeight="false" outlineLevel="0" collapsed="false">
      <c r="A40" s="13" t="s">
        <v>247</v>
      </c>
      <c r="B40" s="13" t="s">
        <v>187</v>
      </c>
      <c r="C40" s="13" t="s">
        <v>248</v>
      </c>
      <c r="D40" s="14" t="n">
        <v>46199</v>
      </c>
      <c r="E40" s="41" t="s">
        <v>193</v>
      </c>
      <c r="F40" s="42" t="n">
        <v>4</v>
      </c>
      <c r="G40" s="42" t="n">
        <v>4</v>
      </c>
      <c r="H40" s="42" t="n">
        <v>4</v>
      </c>
      <c r="I40" s="42" t="n">
        <v>4</v>
      </c>
      <c r="J40" s="42" t="n">
        <v>4</v>
      </c>
      <c r="K40" s="42" t="n">
        <v>4</v>
      </c>
      <c r="L40" s="42" t="n">
        <v>4</v>
      </c>
      <c r="M40" s="42" t="n">
        <v>4</v>
      </c>
      <c r="N40" s="42" t="n">
        <v>4</v>
      </c>
      <c r="O40" s="42" t="n">
        <v>4</v>
      </c>
      <c r="P40" s="42" t="n">
        <v>4</v>
      </c>
      <c r="Q40" s="42" t="n">
        <v>4</v>
      </c>
      <c r="R40" s="42" t="n">
        <v>4</v>
      </c>
      <c r="S40" s="37" t="n">
        <f aca="false">AVERAGE(G40:J40)</f>
        <v>4</v>
      </c>
      <c r="T40" s="37" t="n">
        <f aca="false">AVERAGE(K40:M40)</f>
        <v>4</v>
      </c>
      <c r="U40" s="37" t="n">
        <f aca="false">AVERAGE(N40:O40)</f>
        <v>4</v>
      </c>
      <c r="V40" s="23" t="str">
        <f aca="false">IF(S40&gt;='판정 기준'!$B$3,"H","L")&amp;IF(T40&gt;='판정 기준'!$B$3,"H","L")&amp;IF(U40&gt;='판정 기준'!$B$3,"H","L")</f>
        <v>LLL</v>
      </c>
      <c r="W40" s="36" t="str">
        <f aca="false">INDEX('포지션 정의'!$A$2:$A$9,MATCH(V40,'포지션 정의'!$D$2:$D$9,0))</f>
        <v>G</v>
      </c>
      <c r="X40" s="36" t="str">
        <f aca="false">INDEX('포지션 정의'!$B$2:$B$9,MATCH(V40,'포지션 정의'!$D$2:$D$9,0))</f>
        <v>스펀지 흡수형</v>
      </c>
      <c r="Y40" s="43" t="str">
        <f aca="false">IF(AJ40="","가장 높은 지표: "&amp;AP40,LEFT(AJ40,LEN(AJ40)-2))</f>
        <v>가장 높은 지표: 사회적 도움 활용</v>
      </c>
      <c r="Z40" s="43" t="str">
        <f aca="false">IF(MAX(AK40:AO40)=0,"심화: "&amp;IF(N40=MIN(G40,Q40,K40,N40,P40),"실수 후 회복력",IF(K40=MIN(G40,Q40,K40,N40,P40),"경기 준비 능력",IF(G40=MIN(G40,Q40,K40,N40,P40),"경기긴장도",IF(P40=MIN(G40,Q40,K40,N40,P40),"자기 통제력","사회적 도움 활용")))),IF(MAX(AK40:AO40)&gt;='판정 기준'!$B$8-'판정 기준'!$B$4,IF(AN40=MAX(AK40:AO40),"실수 후 회복력",IF(AM40=MAX(AK40:AO40),"경기 준비 능력",IF(AK40=MAX(AK40:AO40),"경기긴장도",IF(AO40=MAX(AK40:AO40),"자기 통제력","사회적 도움 활용")))),IF(AN40&gt;0,"실수 후 회복력",IF(AM40&gt;0,"경기 준비 능력",IF(AK40&gt;0,"경기긴장도",IF(AO40&gt;0,"자기 통제력","사회적 도움 활용"))))))</f>
        <v>실수 후 회복력</v>
      </c>
      <c r="AA40" s="43" t="str">
        <f aca="false">INDEX('포지션 정의'!$L$2:$L$9,MATCH(V40,'포지션 정의'!$D$2:$D$9,0))</f>
        <v>디디에 드로그바 · 앙투안 그리즈만 · 모하메드 살라</v>
      </c>
      <c r="AB40" s="24" t="n">
        <f aca="false">ROUND(100*(1-SQRT(((S40-'포지션 정의'!$N$2)^2+(T40-'포지션 정의'!$O$2)^2+(U40-'포지션 정의'!$P$2)^2)/3)/'판정 기준'!$B$7),0)</f>
        <v>86</v>
      </c>
      <c r="AC40" s="24" t="n">
        <f aca="false">ROUND(100*(1-SQRT(((S40-'포지션 정의'!$N$3)^2+(T40-'포지션 정의'!$O$3)^2+(U40-'포지션 정의'!$P$3)^2)/3)/'판정 기준'!$B$7),0)</f>
        <v>80</v>
      </c>
      <c r="AD40" s="24" t="n">
        <f aca="false">ROUND(100*(1-SQRT(((S40-'포지션 정의'!$N$4)^2+(T40-'포지션 정의'!$O$4)^2+(U40-'포지션 정의'!$P$4)^2)/3)/'판정 기준'!$B$7),0)</f>
        <v>86</v>
      </c>
      <c r="AE40" s="24" t="n">
        <f aca="false">ROUND(100*(1-SQRT(((S40-'포지션 정의'!$N$5)^2+(T40-'포지션 정의'!$O$5)^2+(U40-'포지션 정의'!$P$5)^2)/3)/'판정 기준'!$B$7),0)</f>
        <v>80</v>
      </c>
      <c r="AF40" s="24" t="n">
        <f aca="false">ROUND(100*(1-SQRT(((S40-'포지션 정의'!$N$6)^2+(T40-'포지션 정의'!$O$6)^2+(U40-'포지션 정의'!$P$6)^2)/3)/'판정 기준'!$B$7),0)</f>
        <v>86</v>
      </c>
      <c r="AG40" s="24" t="n">
        <f aca="false">ROUND(100*(1-SQRT(((S40-'포지션 정의'!$N$7)^2+(T40-'포지션 정의'!$O$7)^2+(U40-'포지션 정의'!$P$7)^2)/3)/'판정 기준'!$B$7),0)</f>
        <v>80</v>
      </c>
      <c r="AH40" s="24" t="n">
        <f aca="false">ROUND(100*(1-SQRT(((S40-'포지션 정의'!$N$8)^2+(T40-'포지션 정의'!$O$8)^2+(U40-'포지션 정의'!$P$8)^2)/3)/'판정 기준'!$B$7),0)</f>
        <v>96</v>
      </c>
      <c r="AI40" s="24" t="n">
        <f aca="false">ROUND(100*(1-SQRT(((S40-'포지션 정의'!$N$9)^2+(T40-'포지션 정의'!$O$9)^2+(U40-'포지션 정의'!$P$9)^2)/3)/'판정 기준'!$B$7),0)</f>
        <v>76</v>
      </c>
      <c r="AJ40" s="23" t="str">
        <f aca="false">IF(G40&gt;='판정 기준'!$B$8,"경기긴장도, ","")&amp;IF(Q40&gt;='판정 기준'!$B$8,"사회적 도움 활용, ","")&amp;IF(K40&gt;='판정 기준'!$B$8,"경기 준비 능력, ","")&amp;IF(N40&gt;='판정 기준'!$B$8,"실수 후 회복력, ","")&amp;IF(P40&gt;='판정 기준'!$B$8,"자기 통제력, ","")</f>
        <v/>
      </c>
      <c r="AK40" s="23" t="n">
        <f aca="false">IF(AND(G40&lt;'판정 기준'!$B$8,OR(AJ40&lt;&gt;"",AP40&lt;&gt;"경기긴장도")),G40,0)</f>
        <v>4</v>
      </c>
      <c r="AL40" s="23" t="n">
        <f aca="false">IF(AND(Q40&lt;'판정 기준'!$B$8,OR(AJ40&lt;&gt;"",AP40&lt;&gt;"사회적 도움 활용")),Q40,0)</f>
        <v>0</v>
      </c>
      <c r="AM40" s="23" t="n">
        <f aca="false">IF(AND(K40&lt;'판정 기준'!$B$8,OR(AJ40&lt;&gt;"",AP40&lt;&gt;"경기 준비 능력")),K40,0)</f>
        <v>4</v>
      </c>
      <c r="AN40" s="23" t="n">
        <f aca="false">IF(AND(N40&lt;'판정 기준'!$B$8,OR(AJ40&lt;&gt;"",AP40&lt;&gt;"실수 후 회복력")),N40,0)</f>
        <v>4</v>
      </c>
      <c r="AO40" s="23" t="n">
        <f aca="false">IF(AND(P40&lt;'판정 기준'!$B$8,OR(AJ40&lt;&gt;"",AP40&lt;&gt;"자기 통제력")),P40,0)</f>
        <v>4</v>
      </c>
      <c r="AP40" s="23" t="str">
        <f aca="false">IF(Q40=MAX(G40,Q40,K40,N40,P40),"사회적 도움 활용",IF(P40=MAX(G40,Q40,K40,N40,P40),"자기 통제력",IF(G40=MAX(G40,Q40,K40,N40,P40),"경기긴장도",IF(K40=MAX(G40,Q40,K40,N40,P40),"경기 준비 능력","실수 후 회복력"))))</f>
        <v>사회적 도움 활용</v>
      </c>
    </row>
    <row r="41" customFormat="false" ht="17.15" hidden="false" customHeight="false" outlineLevel="0" collapsed="false">
      <c r="A41" s="13" t="s">
        <v>249</v>
      </c>
      <c r="B41" s="13" t="s">
        <v>187</v>
      </c>
      <c r="C41" s="13" t="s">
        <v>250</v>
      </c>
      <c r="D41" s="14" t="n">
        <v>46197</v>
      </c>
      <c r="E41" s="41" t="s">
        <v>189</v>
      </c>
      <c r="F41" s="42" t="n">
        <v>4</v>
      </c>
      <c r="G41" s="42" t="n">
        <v>3.8</v>
      </c>
      <c r="H41" s="42" t="n">
        <v>3.3</v>
      </c>
      <c r="I41" s="42" t="n">
        <v>5.2</v>
      </c>
      <c r="J41" s="42" t="n">
        <v>3.3</v>
      </c>
      <c r="K41" s="42" t="n">
        <v>4.6</v>
      </c>
      <c r="L41" s="42" t="n">
        <v>4.7</v>
      </c>
      <c r="M41" s="42" t="n">
        <v>4.6</v>
      </c>
      <c r="N41" s="42" t="n">
        <v>4</v>
      </c>
      <c r="O41" s="42" t="n">
        <v>4.7</v>
      </c>
      <c r="P41" s="42" t="n">
        <v>3.3</v>
      </c>
      <c r="Q41" s="42" t="n">
        <v>5.4</v>
      </c>
      <c r="R41" s="42" t="n">
        <v>6</v>
      </c>
      <c r="S41" s="37" t="n">
        <f aca="false">AVERAGE(G41:J41)</f>
        <v>3.9</v>
      </c>
      <c r="T41" s="37" t="n">
        <f aca="false">AVERAGE(K41:M41)</f>
        <v>4.63333333333333</v>
      </c>
      <c r="U41" s="37" t="n">
        <f aca="false">AVERAGE(N41:O41)</f>
        <v>4.35</v>
      </c>
      <c r="V41" s="23" t="str">
        <f aca="false">IF(S41&gt;='판정 기준'!$B$3,"H","L")&amp;IF(T41&gt;='판정 기준'!$B$3,"H","L")&amp;IF(U41&gt;='판정 기준'!$B$3,"H","L")</f>
        <v>LHL</v>
      </c>
      <c r="W41" s="36" t="str">
        <f aca="false">INDEX('포지션 정의'!$A$2:$A$9,MATCH(V41,'포지션 정의'!$D$2:$D$9,0))</f>
        <v>A</v>
      </c>
      <c r="X41" s="36" t="str">
        <f aca="false">INDEX('포지션 정의'!$B$2:$B$9,MATCH(V41,'포지션 정의'!$D$2:$D$9,0))</f>
        <v>섬세한 준비형</v>
      </c>
      <c r="Y41" s="43" t="str">
        <f aca="false">IF(AJ41="","가장 높은 지표: "&amp;AP41,LEFT(AJ41,LEN(AJ41)-2))</f>
        <v>사회적 도움 활용</v>
      </c>
      <c r="Z41" s="43" t="str">
        <f aca="false">IF(MAX(AK41:AO41)=0,"심화: "&amp;IF(N41=MIN(G41,Q41,K41,N41,P41),"실수 후 회복력",IF(K41=MIN(G41,Q41,K41,N41,P41),"경기 준비 능력",IF(G41=MIN(G41,Q41,K41,N41,P41),"경기긴장도",IF(P41=MIN(G41,Q41,K41,N41,P41),"자기 통제력","사회적 도움 활용")))),IF(MAX(AK41:AO41)&gt;='판정 기준'!$B$8-'판정 기준'!$B$4,IF(AN41=MAX(AK41:AO41),"실수 후 회복력",IF(AM41=MAX(AK41:AO41),"경기 준비 능력",IF(AK41=MAX(AK41:AO41),"경기긴장도",IF(AO41=MAX(AK41:AO41),"자기 통제력","사회적 도움 활용")))),IF(AN41&gt;0,"실수 후 회복력",IF(AM41&gt;0,"경기 준비 능력",IF(AK41&gt;0,"경기긴장도",IF(AO41&gt;0,"자기 통제력","사회적 도움 활용"))))))</f>
        <v>경기 준비 능력</v>
      </c>
      <c r="AA41" s="43" t="str">
        <f aca="false">INDEX('포지션 정의'!$L$2:$L$9,MATCH(V41,'포지션 정의'!$D$2:$D$9,0))</f>
        <v>로베르트 레반도프스키 · 제임스 밀너 · 마르틴 외데고르</v>
      </c>
      <c r="AB41" s="24" t="n">
        <f aca="false">ROUND(100*(1-SQRT(((S41-'포지션 정의'!$N$2)^2+(T41-'포지션 정의'!$O$2)^2+(U41-'포지션 정의'!$P$2)^2)/3)/'판정 기준'!$B$7),0)</f>
        <v>91</v>
      </c>
      <c r="AC41" s="24" t="n">
        <f aca="false">ROUND(100*(1-SQRT(((S41-'포지션 정의'!$N$3)^2+(T41-'포지션 정의'!$O$3)^2+(U41-'포지션 정의'!$P$3)^2)/3)/'판정 기준'!$B$7),0)</f>
        <v>82</v>
      </c>
      <c r="AD41" s="24" t="n">
        <f aca="false">ROUND(100*(1-SQRT(((S41-'포지션 정의'!$N$4)^2+(T41-'포지션 정의'!$O$4)^2+(U41-'포지션 정의'!$P$4)^2)/3)/'판정 기준'!$B$7),0)</f>
        <v>81</v>
      </c>
      <c r="AE41" s="24" t="n">
        <f aca="false">ROUND(100*(1-SQRT(((S41-'포지션 정의'!$N$5)^2+(T41-'포지션 정의'!$O$5)^2+(U41-'포지션 정의'!$P$5)^2)/3)/'판정 기준'!$B$7),0)</f>
        <v>80</v>
      </c>
      <c r="AF41" s="24" t="n">
        <f aca="false">ROUND(100*(1-SQRT(((S41-'포지션 정의'!$N$6)^2+(T41-'포지션 정의'!$O$6)^2+(U41-'포지션 정의'!$P$6)^2)/3)/'판정 기준'!$B$7),0)</f>
        <v>86</v>
      </c>
      <c r="AG41" s="24" t="n">
        <f aca="false">ROUND(100*(1-SQRT(((S41-'포지션 정의'!$N$7)^2+(T41-'포지션 정의'!$O$7)^2+(U41-'포지션 정의'!$P$7)^2)/3)/'판정 기준'!$B$7),0)</f>
        <v>88</v>
      </c>
      <c r="AH41" s="24" t="n">
        <f aca="false">ROUND(100*(1-SQRT(((S41-'포지션 정의'!$N$8)^2+(T41-'포지션 정의'!$O$8)^2+(U41-'포지션 정의'!$P$8)^2)/3)/'판정 기준'!$B$7),0)</f>
        <v>88</v>
      </c>
      <c r="AI41" s="24" t="n">
        <f aca="false">ROUND(100*(1-SQRT(((S41-'포지션 정의'!$N$9)^2+(T41-'포지션 정의'!$O$9)^2+(U41-'포지션 정의'!$P$9)^2)/3)/'판정 기준'!$B$7),0)</f>
        <v>81</v>
      </c>
      <c r="AJ41" s="23" t="str">
        <f aca="false">IF(G41&gt;='판정 기준'!$B$8,"경기긴장도, ","")&amp;IF(Q41&gt;='판정 기준'!$B$8,"사회적 도움 활용, ","")&amp;IF(K41&gt;='판정 기준'!$B$8,"경기 준비 능력, ","")&amp;IF(N41&gt;='판정 기준'!$B$8,"실수 후 회복력, ","")&amp;IF(P41&gt;='판정 기준'!$B$8,"자기 통제력, ","")</f>
        <v>사회적 도움 활용, </v>
      </c>
      <c r="AK41" s="23" t="n">
        <f aca="false">IF(AND(G41&lt;'판정 기준'!$B$8,OR(AJ41&lt;&gt;"",AP41&lt;&gt;"경기긴장도")),G41,0)</f>
        <v>3.8</v>
      </c>
      <c r="AL41" s="23" t="n">
        <f aca="false">IF(AND(Q41&lt;'판정 기준'!$B$8,OR(AJ41&lt;&gt;"",AP41&lt;&gt;"사회적 도움 활용")),Q41,0)</f>
        <v>0</v>
      </c>
      <c r="AM41" s="23" t="n">
        <f aca="false">IF(AND(K41&lt;'판정 기준'!$B$8,OR(AJ41&lt;&gt;"",AP41&lt;&gt;"경기 준비 능력")),K41,0)</f>
        <v>4.6</v>
      </c>
      <c r="AN41" s="23" t="n">
        <f aca="false">IF(AND(N41&lt;'판정 기준'!$B$8,OR(AJ41&lt;&gt;"",AP41&lt;&gt;"실수 후 회복력")),N41,0)</f>
        <v>4</v>
      </c>
      <c r="AO41" s="23" t="n">
        <f aca="false">IF(AND(P41&lt;'판정 기준'!$B$8,OR(AJ41&lt;&gt;"",AP41&lt;&gt;"자기 통제력")),P41,0)</f>
        <v>3.3</v>
      </c>
      <c r="AP41" s="23" t="str">
        <f aca="false">IF(Q41=MAX(G41,Q41,K41,N41,P41),"사회적 도움 활용",IF(P41=MAX(G41,Q41,K41,N41,P41),"자기 통제력",IF(G41=MAX(G41,Q41,K41,N41,P41),"경기긴장도",IF(K41=MAX(G41,Q41,K41,N41,P41),"경기 준비 능력","실수 후 회복력"))))</f>
        <v>사회적 도움 활용</v>
      </c>
    </row>
    <row r="42" customFormat="false" ht="17.15" hidden="false" customHeight="false" outlineLevel="0" collapsed="false">
      <c r="A42" s="13" t="s">
        <v>251</v>
      </c>
      <c r="B42" s="13" t="s">
        <v>187</v>
      </c>
      <c r="C42" s="13" t="s">
        <v>252</v>
      </c>
      <c r="D42" s="14" t="n">
        <v>46183</v>
      </c>
      <c r="E42" s="41" t="s">
        <v>198</v>
      </c>
      <c r="F42" s="42" t="n">
        <v>3.3</v>
      </c>
      <c r="G42" s="42" t="n">
        <v>3</v>
      </c>
      <c r="H42" s="42" t="n">
        <v>3.8</v>
      </c>
      <c r="I42" s="42" t="n">
        <v>2</v>
      </c>
      <c r="J42" s="42" t="n">
        <v>2.8</v>
      </c>
      <c r="K42" s="42" t="n">
        <v>4.3</v>
      </c>
      <c r="L42" s="42" t="n">
        <v>4</v>
      </c>
      <c r="M42" s="42" t="n">
        <v>4.6</v>
      </c>
      <c r="N42" s="42" t="n">
        <v>2.6</v>
      </c>
      <c r="O42" s="42" t="n">
        <v>3.3</v>
      </c>
      <c r="P42" s="42" t="n">
        <v>3.3</v>
      </c>
      <c r="Q42" s="42" t="n">
        <v>4.6</v>
      </c>
      <c r="R42" s="42" t="n">
        <v>4</v>
      </c>
      <c r="S42" s="37" t="n">
        <f aca="false">AVERAGE(G42:J42)</f>
        <v>2.9</v>
      </c>
      <c r="T42" s="37" t="n">
        <f aca="false">AVERAGE(K42:M42)</f>
        <v>4.3</v>
      </c>
      <c r="U42" s="37" t="n">
        <f aca="false">AVERAGE(N42:O42)</f>
        <v>2.95</v>
      </c>
      <c r="V42" s="23" t="str">
        <f aca="false">IF(S42&gt;='판정 기준'!$B$3,"H","L")&amp;IF(T42&gt;='판정 기준'!$B$3,"H","L")&amp;IF(U42&gt;='판정 기준'!$B$3,"H","L")</f>
        <v>LLL</v>
      </c>
      <c r="W42" s="36" t="str">
        <f aca="false">INDEX('포지션 정의'!$A$2:$A$9,MATCH(V42,'포지션 정의'!$D$2:$D$9,0))</f>
        <v>G</v>
      </c>
      <c r="X42" s="36" t="str">
        <f aca="false">INDEX('포지션 정의'!$B$2:$B$9,MATCH(V42,'포지션 정의'!$D$2:$D$9,0))</f>
        <v>스펀지 흡수형</v>
      </c>
      <c r="Y42" s="43" t="str">
        <f aca="false">IF(AJ42="","가장 높은 지표: "&amp;AP42,LEFT(AJ42,LEN(AJ42)-2))</f>
        <v>가장 높은 지표: 사회적 도움 활용</v>
      </c>
      <c r="Z42" s="43" t="str">
        <f aca="false">IF(MAX(AK42:AO42)=0,"심화: "&amp;IF(N42=MIN(G42,Q42,K42,N42,P42),"실수 후 회복력",IF(K42=MIN(G42,Q42,K42,N42,P42),"경기 준비 능력",IF(G42=MIN(G42,Q42,K42,N42,P42),"경기긴장도",IF(P42=MIN(G42,Q42,K42,N42,P42),"자기 통제력","사회적 도움 활용")))),IF(MAX(AK42:AO42)&gt;='판정 기준'!$B$8-'판정 기준'!$B$4,IF(AN42=MAX(AK42:AO42),"실수 후 회복력",IF(AM42=MAX(AK42:AO42),"경기 준비 능력",IF(AK42=MAX(AK42:AO42),"경기긴장도",IF(AO42=MAX(AK42:AO42),"자기 통제력","사회적 도움 활용")))),IF(AN42&gt;0,"실수 후 회복력",IF(AM42&gt;0,"경기 준비 능력",IF(AK42&gt;0,"경기긴장도",IF(AO42&gt;0,"자기 통제력","사회적 도움 활용"))))))</f>
        <v>실수 후 회복력</v>
      </c>
      <c r="AA42" s="43" t="str">
        <f aca="false">INDEX('포지션 정의'!$L$2:$L$9,MATCH(V42,'포지션 정의'!$D$2:$D$9,0))</f>
        <v>디디에 드로그바 · 앙투안 그리즈만 · 모하메드 살라</v>
      </c>
      <c r="AB42" s="24" t="n">
        <f aca="false">ROUND(100*(1-SQRT(((S42-'포지션 정의'!$N$2)^2+(T42-'포지션 정의'!$O$2)^2+(U42-'포지션 정의'!$P$2)^2)/3)/'판정 기준'!$B$7),0)</f>
        <v>82</v>
      </c>
      <c r="AC42" s="24" t="n">
        <f aca="false">ROUND(100*(1-SQRT(((S42-'포지션 정의'!$N$3)^2+(T42-'포지션 정의'!$O$3)^2+(U42-'포지션 정의'!$P$3)^2)/3)/'판정 기준'!$B$7),0)</f>
        <v>70</v>
      </c>
      <c r="AD42" s="24" t="n">
        <f aca="false">ROUND(100*(1-SQRT(((S42-'포지션 정의'!$N$4)^2+(T42-'포지션 정의'!$O$4)^2+(U42-'포지션 정의'!$P$4)^2)/3)/'판정 기준'!$B$7),0)</f>
        <v>71</v>
      </c>
      <c r="AE42" s="24" t="n">
        <f aca="false">ROUND(100*(1-SQRT(((S42-'포지션 정의'!$N$5)^2+(T42-'포지션 정의'!$O$5)^2+(U42-'포지션 정의'!$P$5)^2)/3)/'판정 기준'!$B$7),0)</f>
        <v>62</v>
      </c>
      <c r="AF42" s="24" t="n">
        <f aca="false">ROUND(100*(1-SQRT(((S42-'포지션 정의'!$N$6)^2+(T42-'포지션 정의'!$O$6)^2+(U42-'포지션 정의'!$P$6)^2)/3)/'판정 기준'!$B$7),0)</f>
        <v>71</v>
      </c>
      <c r="AG42" s="24" t="n">
        <f aca="false">ROUND(100*(1-SQRT(((S42-'포지션 정의'!$N$7)^2+(T42-'포지션 정의'!$O$7)^2+(U42-'포지션 정의'!$P$7)^2)/3)/'판정 기준'!$B$7),0)</f>
        <v>70</v>
      </c>
      <c r="AH42" s="24" t="n">
        <f aca="false">ROUND(100*(1-SQRT(((S42-'포지션 정의'!$N$8)^2+(T42-'포지션 정의'!$O$8)^2+(U42-'포지션 정의'!$P$8)^2)/3)/'판정 기준'!$B$7),0)</f>
        <v>85</v>
      </c>
      <c r="AI42" s="24" t="n">
        <f aca="false">ROUND(100*(1-SQRT(((S42-'포지션 정의'!$N$9)^2+(T42-'포지션 정의'!$O$9)^2+(U42-'포지션 정의'!$P$9)^2)/3)/'판정 기준'!$B$7),0)</f>
        <v>61</v>
      </c>
      <c r="AJ42" s="23" t="str">
        <f aca="false">IF(G42&gt;='판정 기준'!$B$8,"경기긴장도, ","")&amp;IF(Q42&gt;='판정 기준'!$B$8,"사회적 도움 활용, ","")&amp;IF(K42&gt;='판정 기준'!$B$8,"경기 준비 능력, ","")&amp;IF(N42&gt;='판정 기준'!$B$8,"실수 후 회복력, ","")&amp;IF(P42&gt;='판정 기준'!$B$8,"자기 통제력, ","")</f>
        <v/>
      </c>
      <c r="AK42" s="23" t="n">
        <f aca="false">IF(AND(G42&lt;'판정 기준'!$B$8,OR(AJ42&lt;&gt;"",AP42&lt;&gt;"경기긴장도")),G42,0)</f>
        <v>3</v>
      </c>
      <c r="AL42" s="23" t="n">
        <f aca="false">IF(AND(Q42&lt;'판정 기준'!$B$8,OR(AJ42&lt;&gt;"",AP42&lt;&gt;"사회적 도움 활용")),Q42,0)</f>
        <v>0</v>
      </c>
      <c r="AM42" s="23" t="n">
        <f aca="false">IF(AND(K42&lt;'판정 기준'!$B$8,OR(AJ42&lt;&gt;"",AP42&lt;&gt;"경기 준비 능력")),K42,0)</f>
        <v>4.3</v>
      </c>
      <c r="AN42" s="23" t="n">
        <f aca="false">IF(AND(N42&lt;'판정 기준'!$B$8,OR(AJ42&lt;&gt;"",AP42&lt;&gt;"실수 후 회복력")),N42,0)</f>
        <v>2.6</v>
      </c>
      <c r="AO42" s="23" t="n">
        <f aca="false">IF(AND(P42&lt;'판정 기준'!$B$8,OR(AJ42&lt;&gt;"",AP42&lt;&gt;"자기 통제력")),P42,0)</f>
        <v>3.3</v>
      </c>
      <c r="AP42" s="23" t="str">
        <f aca="false">IF(Q42=MAX(G42,Q42,K42,N42,P42),"사회적 도움 활용",IF(P42=MAX(G42,Q42,K42,N42,P42),"자기 통제력",IF(G42=MAX(G42,Q42,K42,N42,P42),"경기긴장도",IF(K42=MAX(G42,Q42,K42,N42,P42),"경기 준비 능력","실수 후 회복력"))))</f>
        <v>사회적 도움 활용</v>
      </c>
    </row>
    <row r="43" customFormat="false" ht="17.15" hidden="false" customHeight="false" outlineLevel="0" collapsed="false">
      <c r="A43" s="13" t="s">
        <v>253</v>
      </c>
      <c r="B43" s="13" t="s">
        <v>187</v>
      </c>
      <c r="C43" s="13" t="s">
        <v>252</v>
      </c>
      <c r="D43" s="14" t="n">
        <v>46183</v>
      </c>
      <c r="E43" s="41" t="s">
        <v>198</v>
      </c>
      <c r="F43" s="42" t="n">
        <v>4.3</v>
      </c>
      <c r="G43" s="42" t="n">
        <v>4.6</v>
      </c>
      <c r="H43" s="42" t="n">
        <v>3.8</v>
      </c>
      <c r="I43" s="42" t="n">
        <v>5</v>
      </c>
      <c r="J43" s="42" t="n">
        <v>5</v>
      </c>
      <c r="K43" s="42" t="n">
        <v>4</v>
      </c>
      <c r="L43" s="42" t="n">
        <v>3.8</v>
      </c>
      <c r="M43" s="42" t="n">
        <v>4.1</v>
      </c>
      <c r="N43" s="42" t="n">
        <v>4.7</v>
      </c>
      <c r="O43" s="42" t="n">
        <v>4.2</v>
      </c>
      <c r="P43" s="42" t="n">
        <v>3.7</v>
      </c>
      <c r="Q43" s="42" t="n">
        <v>5.2</v>
      </c>
      <c r="R43" s="42" t="n">
        <v>4.7</v>
      </c>
      <c r="S43" s="37" t="n">
        <f aca="false">AVERAGE(G43:J43)</f>
        <v>4.6</v>
      </c>
      <c r="T43" s="37" t="n">
        <f aca="false">AVERAGE(K43:M43)</f>
        <v>3.96666666666667</v>
      </c>
      <c r="U43" s="37" t="n">
        <f aca="false">AVERAGE(N43:O43)</f>
        <v>4.45</v>
      </c>
      <c r="V43" s="23" t="str">
        <f aca="false">IF(S43&gt;='판정 기준'!$B$3,"H","L")&amp;IF(T43&gt;='판정 기준'!$B$3,"H","L")&amp;IF(U43&gt;='판정 기준'!$B$3,"H","L")</f>
        <v>HLL</v>
      </c>
      <c r="W43" s="36" t="str">
        <f aca="false">INDEX('포지션 정의'!$A$2:$A$9,MATCH(V43,'포지션 정의'!$D$2:$D$9,0))</f>
        <v>C</v>
      </c>
      <c r="X43" s="36" t="str">
        <f aca="false">INDEX('포지션 정의'!$B$2:$B$9,MATCH(V43,'포지션 정의'!$D$2:$D$9,0))</f>
        <v>침착한 감각형</v>
      </c>
      <c r="Y43" s="43" t="str">
        <f aca="false">IF(AJ43="","가장 높은 지표: "&amp;AP43,LEFT(AJ43,LEN(AJ43)-2))</f>
        <v>사회적 도움 활용</v>
      </c>
      <c r="Z43" s="43" t="str">
        <f aca="false">IF(MAX(AK43:AO43)=0,"심화: "&amp;IF(N43=MIN(G43,Q43,K43,N43,P43),"실수 후 회복력",IF(K43=MIN(G43,Q43,K43,N43,P43),"경기 준비 능력",IF(G43=MIN(G43,Q43,K43,N43,P43),"경기긴장도",IF(P43=MIN(G43,Q43,K43,N43,P43),"자기 통제력","사회적 도움 활용")))),IF(MAX(AK43:AO43)&gt;='판정 기준'!$B$8-'판정 기준'!$B$4,IF(AN43=MAX(AK43:AO43),"실수 후 회복력",IF(AM43=MAX(AK43:AO43),"경기 준비 능력",IF(AK43=MAX(AK43:AO43),"경기긴장도",IF(AO43=MAX(AK43:AO43),"자기 통제력","사회적 도움 활용")))),IF(AN43&gt;0,"실수 후 회복력",IF(AM43&gt;0,"경기 준비 능력",IF(AK43&gt;0,"경기긴장도",IF(AO43&gt;0,"자기 통제력","사회적 도움 활용"))))))</f>
        <v>실수 후 회복력</v>
      </c>
      <c r="AA43" s="43" t="str">
        <f aca="false">INDEX('포지션 정의'!$L$2:$L$9,MATCH(V43,'포지션 정의'!$D$2:$D$9,0))</f>
        <v>안드레아 피를로 · 디미타르 베르바토프 · 메수트 외질</v>
      </c>
      <c r="AB43" s="24" t="n">
        <f aca="false">ROUND(100*(1-SQRT(((S43-'포지션 정의'!$N$2)^2+(T43-'포지션 정의'!$O$2)^2+(U43-'포지션 정의'!$P$2)^2)/3)/'판정 기준'!$B$7),0)</f>
        <v>81</v>
      </c>
      <c r="AC43" s="24" t="n">
        <f aca="false">ROUND(100*(1-SQRT(((S43-'포지션 정의'!$N$3)^2+(T43-'포지션 정의'!$O$3)^2+(U43-'포지션 정의'!$P$3)^2)/3)/'판정 기준'!$B$7),0)</f>
        <v>82</v>
      </c>
      <c r="AD43" s="24" t="n">
        <f aca="false">ROUND(100*(1-SQRT(((S43-'포지션 정의'!$N$4)^2+(T43-'포지션 정의'!$O$4)^2+(U43-'포지션 정의'!$P$4)^2)/3)/'판정 기준'!$B$7),0)</f>
        <v>90</v>
      </c>
      <c r="AE43" s="24" t="n">
        <f aca="false">ROUND(100*(1-SQRT(((S43-'포지션 정의'!$N$5)^2+(T43-'포지션 정의'!$O$5)^2+(U43-'포지션 정의'!$P$5)^2)/3)/'판정 기준'!$B$7),0)</f>
        <v>89</v>
      </c>
      <c r="AF43" s="24" t="n">
        <f aca="false">ROUND(100*(1-SQRT(((S43-'포지션 정의'!$N$6)^2+(T43-'포지션 정의'!$O$6)^2+(U43-'포지션 정의'!$P$6)^2)/3)/'판정 기준'!$B$7),0)</f>
        <v>87</v>
      </c>
      <c r="AG43" s="24" t="n">
        <f aca="false">ROUND(100*(1-SQRT(((S43-'포지션 정의'!$N$7)^2+(T43-'포지션 정의'!$O$7)^2+(U43-'포지션 정의'!$P$7)^2)/3)/'판정 기준'!$B$7),0)</f>
        <v>81</v>
      </c>
      <c r="AH43" s="24" t="n">
        <f aca="false">ROUND(100*(1-SQRT(((S43-'포지션 정의'!$N$8)^2+(T43-'포지션 정의'!$O$8)^2+(U43-'포지션 정의'!$P$8)^2)/3)/'판정 기준'!$B$7),0)</f>
        <v>88</v>
      </c>
      <c r="AI43" s="24" t="n">
        <f aca="false">ROUND(100*(1-SQRT(((S43-'포지션 정의'!$N$9)^2+(T43-'포지션 정의'!$O$9)^2+(U43-'포지션 정의'!$P$9)^2)/3)/'판정 기준'!$B$7),0)</f>
        <v>82</v>
      </c>
      <c r="AJ43" s="23" t="str">
        <f aca="false">IF(G43&gt;='판정 기준'!$B$8,"경기긴장도, ","")&amp;IF(Q43&gt;='판정 기준'!$B$8,"사회적 도움 활용, ","")&amp;IF(K43&gt;='판정 기준'!$B$8,"경기 준비 능력, ","")&amp;IF(N43&gt;='판정 기준'!$B$8,"실수 후 회복력, ","")&amp;IF(P43&gt;='판정 기준'!$B$8,"자기 통제력, ","")</f>
        <v>사회적 도움 활용, </v>
      </c>
      <c r="AK43" s="23" t="n">
        <f aca="false">IF(AND(G43&lt;'판정 기준'!$B$8,OR(AJ43&lt;&gt;"",AP43&lt;&gt;"경기긴장도")),G43,0)</f>
        <v>4.6</v>
      </c>
      <c r="AL43" s="23" t="n">
        <f aca="false">IF(AND(Q43&lt;'판정 기준'!$B$8,OR(AJ43&lt;&gt;"",AP43&lt;&gt;"사회적 도움 활용")),Q43,0)</f>
        <v>0</v>
      </c>
      <c r="AM43" s="23" t="n">
        <f aca="false">IF(AND(K43&lt;'판정 기준'!$B$8,OR(AJ43&lt;&gt;"",AP43&lt;&gt;"경기 준비 능력")),K43,0)</f>
        <v>4</v>
      </c>
      <c r="AN43" s="23" t="n">
        <f aca="false">IF(AND(N43&lt;'판정 기준'!$B$8,OR(AJ43&lt;&gt;"",AP43&lt;&gt;"실수 후 회복력")),N43,0)</f>
        <v>4.7</v>
      </c>
      <c r="AO43" s="23" t="n">
        <f aca="false">IF(AND(P43&lt;'판정 기준'!$B$8,OR(AJ43&lt;&gt;"",AP43&lt;&gt;"자기 통제력")),P43,0)</f>
        <v>3.7</v>
      </c>
      <c r="AP43" s="23" t="str">
        <f aca="false">IF(Q43=MAX(G43,Q43,K43,N43,P43),"사회적 도움 활용",IF(P43=MAX(G43,Q43,K43,N43,P43),"자기 통제력",IF(G43=MAX(G43,Q43,K43,N43,P43),"경기긴장도",IF(K43=MAX(G43,Q43,K43,N43,P43),"경기 준비 능력","실수 후 회복력"))))</f>
        <v>사회적 도움 활용</v>
      </c>
    </row>
    <row r="44" customFormat="false" ht="17.15" hidden="false" customHeight="false" outlineLevel="0" collapsed="false">
      <c r="A44" s="13" t="s">
        <v>254</v>
      </c>
      <c r="B44" s="13" t="s">
        <v>187</v>
      </c>
      <c r="C44" s="13" t="s">
        <v>252</v>
      </c>
      <c r="D44" s="14" t="n">
        <v>46183</v>
      </c>
      <c r="E44" s="41" t="s">
        <v>198</v>
      </c>
      <c r="F44" s="42" t="n">
        <v>3.6</v>
      </c>
      <c r="G44" s="42" t="n">
        <v>3.4</v>
      </c>
      <c r="H44" s="42" t="n">
        <v>3.3</v>
      </c>
      <c r="I44" s="42" t="n">
        <v>3.8</v>
      </c>
      <c r="J44" s="42" t="n">
        <v>3.5</v>
      </c>
      <c r="K44" s="42" t="n">
        <v>3.7</v>
      </c>
      <c r="L44" s="42" t="n">
        <v>3.8</v>
      </c>
      <c r="M44" s="42" t="n">
        <v>3.6</v>
      </c>
      <c r="N44" s="42" t="n">
        <v>3.9</v>
      </c>
      <c r="O44" s="42" t="n">
        <v>3</v>
      </c>
      <c r="P44" s="42" t="n">
        <v>3.3</v>
      </c>
      <c r="Q44" s="42" t="n">
        <v>3.4</v>
      </c>
      <c r="R44" s="42" t="n">
        <v>5</v>
      </c>
      <c r="S44" s="37" t="n">
        <f aca="false">AVERAGE(G44:J44)</f>
        <v>3.5</v>
      </c>
      <c r="T44" s="37" t="n">
        <f aca="false">AVERAGE(K44:M44)</f>
        <v>3.7</v>
      </c>
      <c r="U44" s="37" t="n">
        <f aca="false">AVERAGE(N44:O44)</f>
        <v>3.45</v>
      </c>
      <c r="V44" s="23" t="str">
        <f aca="false">IF(S44&gt;='판정 기준'!$B$3,"H","L")&amp;IF(T44&gt;='판정 기준'!$B$3,"H","L")&amp;IF(U44&gt;='판정 기준'!$B$3,"H","L")</f>
        <v>LLL</v>
      </c>
      <c r="W44" s="36" t="str">
        <f aca="false">INDEX('포지션 정의'!$A$2:$A$9,MATCH(V44,'포지션 정의'!$D$2:$D$9,0))</f>
        <v>G</v>
      </c>
      <c r="X44" s="36" t="str">
        <f aca="false">INDEX('포지션 정의'!$B$2:$B$9,MATCH(V44,'포지션 정의'!$D$2:$D$9,0))</f>
        <v>스펀지 흡수형</v>
      </c>
      <c r="Y44" s="43" t="str">
        <f aca="false">IF(AJ44="","가장 높은 지표: "&amp;AP44,LEFT(AJ44,LEN(AJ44)-2))</f>
        <v>가장 높은 지표: 실수 후 회복력</v>
      </c>
      <c r="Z44" s="43" t="str">
        <f aca="false">IF(MAX(AK44:AO44)=0,"심화: "&amp;IF(N44=MIN(G44,Q44,K44,N44,P44),"실수 후 회복력",IF(K44=MIN(G44,Q44,K44,N44,P44),"경기 준비 능력",IF(G44=MIN(G44,Q44,K44,N44,P44),"경기긴장도",IF(P44=MIN(G44,Q44,K44,N44,P44),"자기 통제력","사회적 도움 활용")))),IF(MAX(AK44:AO44)&gt;='판정 기준'!$B$8-'판정 기준'!$B$4,IF(AN44=MAX(AK44:AO44),"실수 후 회복력",IF(AM44=MAX(AK44:AO44),"경기 준비 능력",IF(AK44=MAX(AK44:AO44),"경기긴장도",IF(AO44=MAX(AK44:AO44),"자기 통제력","사회적 도움 활용")))),IF(AN44&gt;0,"실수 후 회복력",IF(AM44&gt;0,"경기 준비 능력",IF(AK44&gt;0,"경기긴장도",IF(AO44&gt;0,"자기 통제력","사회적 도움 활용"))))))</f>
        <v>경기 준비 능력</v>
      </c>
      <c r="AA44" s="43" t="str">
        <f aca="false">INDEX('포지션 정의'!$L$2:$L$9,MATCH(V44,'포지션 정의'!$D$2:$D$9,0))</f>
        <v>디디에 드로그바 · 앙투안 그리즈만 · 모하메드 살라</v>
      </c>
      <c r="AB44" s="24" t="n">
        <f aca="false">ROUND(100*(1-SQRT(((S44-'포지션 정의'!$N$2)^2+(T44-'포지션 정의'!$O$2)^2+(U44-'포지션 정의'!$P$2)^2)/3)/'판정 기준'!$B$7),0)</f>
        <v>82</v>
      </c>
      <c r="AC44" s="24" t="n">
        <f aca="false">ROUND(100*(1-SQRT(((S44-'포지션 정의'!$N$3)^2+(T44-'포지션 정의'!$O$3)^2+(U44-'포지션 정의'!$P$3)^2)/3)/'판정 기준'!$B$7),0)</f>
        <v>74</v>
      </c>
      <c r="AD44" s="24" t="n">
        <f aca="false">ROUND(100*(1-SQRT(((S44-'포지션 정의'!$N$4)^2+(T44-'포지션 정의'!$O$4)^2+(U44-'포지션 정의'!$P$4)^2)/3)/'판정 기준'!$B$7),0)</f>
        <v>80</v>
      </c>
      <c r="AE44" s="24" t="n">
        <f aca="false">ROUND(100*(1-SQRT(((S44-'포지션 정의'!$N$5)^2+(T44-'포지션 정의'!$O$5)^2+(U44-'포지션 정의'!$P$5)^2)/3)/'판정 기준'!$B$7),0)</f>
        <v>72</v>
      </c>
      <c r="AF44" s="24" t="n">
        <f aca="false">ROUND(100*(1-SQRT(((S44-'포지션 정의'!$N$6)^2+(T44-'포지션 정의'!$O$6)^2+(U44-'포지션 정의'!$P$6)^2)/3)/'판정 기준'!$B$7),0)</f>
        <v>79</v>
      </c>
      <c r="AG44" s="24" t="n">
        <f aca="false">ROUND(100*(1-SQRT(((S44-'포지션 정의'!$N$7)^2+(T44-'포지션 정의'!$O$7)^2+(U44-'포지션 정의'!$P$7)^2)/3)/'판정 기준'!$B$7),0)</f>
        <v>73</v>
      </c>
      <c r="AH44" s="24" t="n">
        <f aca="false">ROUND(100*(1-SQRT(((S44-'포지션 정의'!$N$8)^2+(T44-'포지션 정의'!$O$8)^2+(U44-'포지션 정의'!$P$8)^2)/3)/'판정 기준'!$B$7),0)</f>
        <v>95</v>
      </c>
      <c r="AI44" s="24" t="n">
        <f aca="false">ROUND(100*(1-SQRT(((S44-'포지션 정의'!$N$9)^2+(T44-'포지션 정의'!$O$9)^2+(U44-'포지션 정의'!$P$9)^2)/3)/'판정 기준'!$B$7),0)</f>
        <v>67</v>
      </c>
      <c r="AJ44" s="23" t="str">
        <f aca="false">IF(G44&gt;='판정 기준'!$B$8,"경기긴장도, ","")&amp;IF(Q44&gt;='판정 기준'!$B$8,"사회적 도움 활용, ","")&amp;IF(K44&gt;='판정 기준'!$B$8,"경기 준비 능력, ","")&amp;IF(N44&gt;='판정 기준'!$B$8,"실수 후 회복력, ","")&amp;IF(P44&gt;='판정 기준'!$B$8,"자기 통제력, ","")</f>
        <v/>
      </c>
      <c r="AK44" s="23" t="n">
        <f aca="false">IF(AND(G44&lt;'판정 기준'!$B$8,OR(AJ44&lt;&gt;"",AP44&lt;&gt;"경기긴장도")),G44,0)</f>
        <v>3.4</v>
      </c>
      <c r="AL44" s="23" t="n">
        <f aca="false">IF(AND(Q44&lt;'판정 기준'!$B$8,OR(AJ44&lt;&gt;"",AP44&lt;&gt;"사회적 도움 활용")),Q44,0)</f>
        <v>3.4</v>
      </c>
      <c r="AM44" s="23" t="n">
        <f aca="false">IF(AND(K44&lt;'판정 기준'!$B$8,OR(AJ44&lt;&gt;"",AP44&lt;&gt;"경기 준비 능력")),K44,0)</f>
        <v>3.7</v>
      </c>
      <c r="AN44" s="23" t="n">
        <f aca="false">IF(AND(N44&lt;'판정 기준'!$B$8,OR(AJ44&lt;&gt;"",AP44&lt;&gt;"실수 후 회복력")),N44,0)</f>
        <v>0</v>
      </c>
      <c r="AO44" s="23" t="n">
        <f aca="false">IF(AND(P44&lt;'판정 기준'!$B$8,OR(AJ44&lt;&gt;"",AP44&lt;&gt;"자기 통제력")),P44,0)</f>
        <v>3.3</v>
      </c>
      <c r="AP44" s="23" t="str">
        <f aca="false">IF(Q44=MAX(G44,Q44,K44,N44,P44),"사회적 도움 활용",IF(P44=MAX(G44,Q44,K44,N44,P44),"자기 통제력",IF(G44=MAX(G44,Q44,K44,N44,P44),"경기긴장도",IF(K44=MAX(G44,Q44,K44,N44,P44),"경기 준비 능력","실수 후 회복력"))))</f>
        <v>실수 후 회복력</v>
      </c>
    </row>
    <row r="45" customFormat="false" ht="17.15" hidden="false" customHeight="false" outlineLevel="0" collapsed="false">
      <c r="A45" s="13" t="s">
        <v>255</v>
      </c>
      <c r="B45" s="13" t="s">
        <v>187</v>
      </c>
      <c r="C45" s="13" t="s">
        <v>252</v>
      </c>
      <c r="D45" s="14" t="n">
        <v>46183</v>
      </c>
      <c r="E45" s="41" t="s">
        <v>195</v>
      </c>
      <c r="F45" s="42" t="n">
        <v>4.9</v>
      </c>
      <c r="G45" s="42" t="n">
        <v>5.2</v>
      </c>
      <c r="H45" s="42" t="n">
        <v>5.5</v>
      </c>
      <c r="I45" s="42" t="n">
        <v>5.4</v>
      </c>
      <c r="J45" s="42" t="n">
        <v>4.8</v>
      </c>
      <c r="K45" s="42" t="n">
        <v>3.5</v>
      </c>
      <c r="L45" s="42" t="n">
        <v>4.2</v>
      </c>
      <c r="M45" s="42" t="n">
        <v>3</v>
      </c>
      <c r="N45" s="42" t="n">
        <v>6</v>
      </c>
      <c r="O45" s="42" t="n">
        <v>6</v>
      </c>
      <c r="P45" s="42" t="n">
        <v>4.8</v>
      </c>
      <c r="Q45" s="42" t="n">
        <v>5.4</v>
      </c>
      <c r="R45" s="42" t="n">
        <v>6</v>
      </c>
      <c r="S45" s="37" t="n">
        <f aca="false">AVERAGE(G45:J45)</f>
        <v>5.225</v>
      </c>
      <c r="T45" s="37" t="n">
        <f aca="false">AVERAGE(K45:M45)</f>
        <v>3.56666666666667</v>
      </c>
      <c r="U45" s="37" t="n">
        <f aca="false">AVERAGE(N45:O45)</f>
        <v>6</v>
      </c>
      <c r="V45" s="23" t="str">
        <f aca="false">IF(S45&gt;='판정 기준'!$B$3,"H","L")&amp;IF(T45&gt;='판정 기준'!$B$3,"H","L")&amp;IF(U45&gt;='판정 기준'!$B$3,"H","L")</f>
        <v>HLH</v>
      </c>
      <c r="W45" s="36" t="str">
        <f aca="false">INDEX('포지션 정의'!$A$2:$A$9,MATCH(V45,'포지션 정의'!$D$2:$D$9,0))</f>
        <v>D</v>
      </c>
      <c r="X45" s="36" t="str">
        <f aca="false">INDEX('포지션 정의'!$B$2:$B$9,MATCH(V45,'포지션 정의'!$D$2:$D$9,0))</f>
        <v>실전 승부사형</v>
      </c>
      <c r="Y45" s="43" t="str">
        <f aca="false">IF(AJ45="","가장 높은 지표: "&amp;AP45,LEFT(AJ45,LEN(AJ45)-2))</f>
        <v>경기긴장도, 사회적 도움 활용, 실수 후 회복력, 자기 통제력</v>
      </c>
      <c r="Z45" s="43" t="str">
        <f aca="false">IF(MAX(AK45:AO45)=0,"심화: "&amp;IF(N45=MIN(G45,Q45,K45,N45,P45),"실수 후 회복력",IF(K45=MIN(G45,Q45,K45,N45,P45),"경기 준비 능력",IF(G45=MIN(G45,Q45,K45,N45,P45),"경기긴장도",IF(P45=MIN(G45,Q45,K45,N45,P45),"자기 통제력","사회적 도움 활용")))),IF(MAX(AK45:AO45)&gt;='판정 기준'!$B$8-'판정 기준'!$B$4,IF(AN45=MAX(AK45:AO45),"실수 후 회복력",IF(AM45=MAX(AK45:AO45),"경기 준비 능력",IF(AK45=MAX(AK45:AO45),"경기긴장도",IF(AO45=MAX(AK45:AO45),"자기 통제력","사회적 도움 활용")))),IF(AN45&gt;0,"실수 후 회복력",IF(AM45&gt;0,"경기 준비 능력",IF(AK45&gt;0,"경기긴장도",IF(AO45&gt;0,"자기 통제력","사회적 도움 활용"))))))</f>
        <v>경기 준비 능력</v>
      </c>
      <c r="AA45" s="43" t="str">
        <f aca="false">INDEX('포지션 정의'!$L$2:$L$9,MATCH(V45,'포지션 정의'!$D$2:$D$9,0))</f>
        <v>즐라탄 이브라히모비치 · 호나우지뉴 · 디에고 마라도나</v>
      </c>
      <c r="AB45" s="24" t="n">
        <f aca="false">ROUND(100*(1-SQRT(((S45-'포지션 정의'!$N$2)^2+(T45-'포지션 정의'!$O$2)^2+(U45-'포지션 정의'!$P$2)^2)/3)/'판정 기준'!$B$7),0)</f>
        <v>64</v>
      </c>
      <c r="AC45" s="24" t="n">
        <f aca="false">ROUND(100*(1-SQRT(((S45-'포지션 정의'!$N$3)^2+(T45-'포지션 정의'!$O$3)^2+(U45-'포지션 정의'!$P$3)^2)/3)/'판정 기준'!$B$7),0)</f>
        <v>68</v>
      </c>
      <c r="AD45" s="24" t="n">
        <f aca="false">ROUND(100*(1-SQRT(((S45-'포지션 정의'!$N$4)^2+(T45-'포지션 정의'!$O$4)^2+(U45-'포지션 정의'!$P$4)^2)/3)/'판정 기준'!$B$7),0)</f>
        <v>74</v>
      </c>
      <c r="AE45" s="24" t="n">
        <f aca="false">ROUND(100*(1-SQRT(((S45-'포지션 정의'!$N$5)^2+(T45-'포지션 정의'!$O$5)^2+(U45-'포지션 정의'!$P$5)^2)/3)/'판정 기준'!$B$7),0)</f>
        <v>90</v>
      </c>
      <c r="AF45" s="24" t="n">
        <f aca="false">ROUND(100*(1-SQRT(((S45-'포지션 정의'!$N$6)^2+(T45-'포지션 정의'!$O$6)^2+(U45-'포지션 정의'!$P$6)^2)/3)/'판정 기준'!$B$7),0)</f>
        <v>81</v>
      </c>
      <c r="AG45" s="24" t="n">
        <f aca="false">ROUND(100*(1-SQRT(((S45-'포지션 정의'!$N$7)^2+(T45-'포지션 정의'!$O$7)^2+(U45-'포지션 정의'!$P$7)^2)/3)/'판정 기준'!$B$7),0)</f>
        <v>73</v>
      </c>
      <c r="AH45" s="24" t="n">
        <f aca="false">ROUND(100*(1-SQRT(((S45-'포지션 정의'!$N$8)^2+(T45-'포지션 정의'!$O$8)^2+(U45-'포지션 정의'!$P$8)^2)/3)/'판정 기준'!$B$7),0)</f>
        <v>70</v>
      </c>
      <c r="AI45" s="24" t="n">
        <f aca="false">ROUND(100*(1-SQRT(((S45-'포지션 정의'!$N$9)^2+(T45-'포지션 정의'!$O$9)^2+(U45-'포지션 정의'!$P$9)^2)/3)/'판정 기준'!$B$7),0)</f>
        <v>79</v>
      </c>
      <c r="AJ45" s="23" t="str">
        <f aca="false">IF(G45&gt;='판정 기준'!$B$8,"경기긴장도, ","")&amp;IF(Q45&gt;='판정 기준'!$B$8,"사회적 도움 활용, ","")&amp;IF(K45&gt;='판정 기준'!$B$8,"경기 준비 능력, ","")&amp;IF(N45&gt;='판정 기준'!$B$8,"실수 후 회복력, ","")&amp;IF(P45&gt;='판정 기준'!$B$8,"자기 통제력, ","")</f>
        <v>경기긴장도, 사회적 도움 활용, 실수 후 회복력, 자기 통제력, </v>
      </c>
      <c r="AK45" s="23" t="n">
        <f aca="false">IF(AND(G45&lt;'판정 기준'!$B$8,OR(AJ45&lt;&gt;"",AP45&lt;&gt;"경기긴장도")),G45,0)</f>
        <v>0</v>
      </c>
      <c r="AL45" s="23" t="n">
        <f aca="false">IF(AND(Q45&lt;'판정 기준'!$B$8,OR(AJ45&lt;&gt;"",AP45&lt;&gt;"사회적 도움 활용")),Q45,0)</f>
        <v>0</v>
      </c>
      <c r="AM45" s="23" t="n">
        <f aca="false">IF(AND(K45&lt;'판정 기준'!$B$8,OR(AJ45&lt;&gt;"",AP45&lt;&gt;"경기 준비 능력")),K45,0)</f>
        <v>3.5</v>
      </c>
      <c r="AN45" s="23" t="n">
        <f aca="false">IF(AND(N45&lt;'판정 기준'!$B$8,OR(AJ45&lt;&gt;"",AP45&lt;&gt;"실수 후 회복력")),N45,0)</f>
        <v>0</v>
      </c>
      <c r="AO45" s="23" t="n">
        <f aca="false">IF(AND(P45&lt;'판정 기준'!$B$8,OR(AJ45&lt;&gt;"",AP45&lt;&gt;"자기 통제력")),P45,0)</f>
        <v>0</v>
      </c>
      <c r="AP45" s="23" t="str">
        <f aca="false">IF(Q45=MAX(G45,Q45,K45,N45,P45),"사회적 도움 활용",IF(P45=MAX(G45,Q45,K45,N45,P45),"자기 통제력",IF(G45=MAX(G45,Q45,K45,N45,P45),"경기긴장도",IF(K45=MAX(G45,Q45,K45,N45,P45),"경기 준비 능력","실수 후 회복력"))))</f>
        <v>실수 후 회복력</v>
      </c>
    </row>
    <row r="46" customFormat="false" ht="17.15" hidden="false" customHeight="false" outlineLevel="0" collapsed="false">
      <c r="A46" s="13" t="s">
        <v>256</v>
      </c>
      <c r="B46" s="13" t="s">
        <v>191</v>
      </c>
      <c r="C46" s="13" t="s">
        <v>257</v>
      </c>
      <c r="D46" s="14" t="n">
        <v>46183</v>
      </c>
      <c r="E46" s="41" t="s">
        <v>189</v>
      </c>
      <c r="F46" s="42" t="n">
        <v>4.2</v>
      </c>
      <c r="G46" s="42" t="n">
        <v>4.2</v>
      </c>
      <c r="H46" s="42" t="n">
        <v>4.3</v>
      </c>
      <c r="I46" s="42" t="n">
        <v>4.8</v>
      </c>
      <c r="J46" s="42" t="n">
        <v>3.8</v>
      </c>
      <c r="K46" s="42" t="n">
        <v>4</v>
      </c>
      <c r="L46" s="42" t="n">
        <v>4</v>
      </c>
      <c r="M46" s="42" t="n">
        <v>4</v>
      </c>
      <c r="N46" s="42" t="n">
        <v>4.4</v>
      </c>
      <c r="O46" s="42" t="n">
        <v>4.5</v>
      </c>
      <c r="P46" s="42" t="n">
        <v>4.2</v>
      </c>
      <c r="Q46" s="42" t="n">
        <v>4</v>
      </c>
      <c r="R46" s="42" t="n">
        <v>5</v>
      </c>
      <c r="S46" s="37" t="n">
        <f aca="false">AVERAGE(G46:J46)</f>
        <v>4.275</v>
      </c>
      <c r="T46" s="37" t="n">
        <f aca="false">AVERAGE(K46:M46)</f>
        <v>4</v>
      </c>
      <c r="U46" s="37" t="n">
        <f aca="false">AVERAGE(N46:O46)</f>
        <v>4.45</v>
      </c>
      <c r="V46" s="23" t="str">
        <f aca="false">IF(S46&gt;='판정 기준'!$B$3,"H","L")&amp;IF(T46&gt;='판정 기준'!$B$3,"H","L")&amp;IF(U46&gt;='판정 기준'!$B$3,"H","L")</f>
        <v>LLL</v>
      </c>
      <c r="W46" s="36" t="str">
        <f aca="false">INDEX('포지션 정의'!$A$2:$A$9,MATCH(V46,'포지션 정의'!$D$2:$D$9,0))</f>
        <v>G</v>
      </c>
      <c r="X46" s="36" t="str">
        <f aca="false">INDEX('포지션 정의'!$B$2:$B$9,MATCH(V46,'포지션 정의'!$D$2:$D$9,0))</f>
        <v>스펀지 흡수형</v>
      </c>
      <c r="Y46" s="43" t="str">
        <f aca="false">IF(AJ46="","가장 높은 지표: "&amp;AP46,LEFT(AJ46,LEN(AJ46)-2))</f>
        <v>가장 높은 지표: 실수 후 회복력</v>
      </c>
      <c r="Z46" s="43" t="str">
        <f aca="false">IF(MAX(AK46:AO46)=0,"심화: "&amp;IF(N46=MIN(G46,Q46,K46,N46,P46),"실수 후 회복력",IF(K46=MIN(G46,Q46,K46,N46,P46),"경기 준비 능력",IF(G46=MIN(G46,Q46,K46,N46,P46),"경기긴장도",IF(P46=MIN(G46,Q46,K46,N46,P46),"자기 통제력","사회적 도움 활용")))),IF(MAX(AK46:AO46)&gt;='판정 기준'!$B$8-'판정 기준'!$B$4,IF(AN46=MAX(AK46:AO46),"실수 후 회복력",IF(AM46=MAX(AK46:AO46),"경기 준비 능력",IF(AK46=MAX(AK46:AO46),"경기긴장도",IF(AO46=MAX(AK46:AO46),"자기 통제력","사회적 도움 활용")))),IF(AN46&gt;0,"실수 후 회복력",IF(AM46&gt;0,"경기 준비 능력",IF(AK46&gt;0,"경기긴장도",IF(AO46&gt;0,"자기 통제력","사회적 도움 활용"))))))</f>
        <v>경기 준비 능력</v>
      </c>
      <c r="AA46" s="43" t="str">
        <f aca="false">INDEX('포지션 정의'!$L$2:$L$9,MATCH(V46,'포지션 정의'!$D$2:$D$9,0))</f>
        <v>디디에 드로그바 · 앙투안 그리즈만 · 모하메드 살라</v>
      </c>
      <c r="AB46" s="24" t="n">
        <f aca="false">ROUND(100*(1-SQRT(((S46-'포지션 정의'!$N$2)^2+(T46-'포지션 정의'!$O$2)^2+(U46-'포지션 정의'!$P$2)^2)/3)/'판정 기준'!$B$7),0)</f>
        <v>83</v>
      </c>
      <c r="AC46" s="24" t="n">
        <f aca="false">ROUND(100*(1-SQRT(((S46-'포지션 정의'!$N$3)^2+(T46-'포지션 정의'!$O$3)^2+(U46-'포지션 정의'!$P$3)^2)/3)/'판정 기준'!$B$7),0)</f>
        <v>81</v>
      </c>
      <c r="AD46" s="24" t="n">
        <f aca="false">ROUND(100*(1-SQRT(((S46-'포지션 정의'!$N$4)^2+(T46-'포지션 정의'!$O$4)^2+(U46-'포지션 정의'!$P$4)^2)/3)/'판정 기준'!$B$7),0)</f>
        <v>87</v>
      </c>
      <c r="AE46" s="24" t="n">
        <f aca="false">ROUND(100*(1-SQRT(((S46-'포지션 정의'!$N$5)^2+(T46-'포지션 정의'!$O$5)^2+(U46-'포지션 정의'!$P$5)^2)/3)/'판정 기준'!$B$7),0)</f>
        <v>86</v>
      </c>
      <c r="AF46" s="24" t="n">
        <f aca="false">ROUND(100*(1-SQRT(((S46-'포지션 정의'!$N$6)^2+(T46-'포지션 정의'!$O$6)^2+(U46-'포지션 정의'!$P$6)^2)/3)/'판정 기준'!$B$7),0)</f>
        <v>89</v>
      </c>
      <c r="AG46" s="24" t="n">
        <f aca="false">ROUND(100*(1-SQRT(((S46-'포지션 정의'!$N$7)^2+(T46-'포지션 정의'!$O$7)^2+(U46-'포지션 정의'!$P$7)^2)/3)/'판정 기준'!$B$7),0)</f>
        <v>83</v>
      </c>
      <c r="AH46" s="24" t="n">
        <f aca="false">ROUND(100*(1-SQRT(((S46-'포지션 정의'!$N$8)^2+(T46-'포지션 정의'!$O$8)^2+(U46-'포지션 정의'!$P$8)^2)/3)/'판정 기준'!$B$7),0)</f>
        <v>90</v>
      </c>
      <c r="AI46" s="24" t="n">
        <f aca="false">ROUND(100*(1-SQRT(((S46-'포지션 정의'!$N$9)^2+(T46-'포지션 정의'!$O$9)^2+(U46-'포지션 정의'!$P$9)^2)/3)/'판정 기준'!$B$7),0)</f>
        <v>80</v>
      </c>
      <c r="AJ46" s="23" t="str">
        <f aca="false">IF(G46&gt;='판정 기준'!$B$8,"경기긴장도, ","")&amp;IF(Q46&gt;='판정 기준'!$B$8,"사회적 도움 활용, ","")&amp;IF(K46&gt;='판정 기준'!$B$8,"경기 준비 능력, ","")&amp;IF(N46&gt;='판정 기준'!$B$8,"실수 후 회복력, ","")&amp;IF(P46&gt;='판정 기준'!$B$8,"자기 통제력, ","")</f>
        <v/>
      </c>
      <c r="AK46" s="23" t="n">
        <f aca="false">IF(AND(G46&lt;'판정 기준'!$B$8,OR(AJ46&lt;&gt;"",AP46&lt;&gt;"경기긴장도")),G46,0)</f>
        <v>4.2</v>
      </c>
      <c r="AL46" s="23" t="n">
        <f aca="false">IF(AND(Q46&lt;'판정 기준'!$B$8,OR(AJ46&lt;&gt;"",AP46&lt;&gt;"사회적 도움 활용")),Q46,0)</f>
        <v>4</v>
      </c>
      <c r="AM46" s="23" t="n">
        <f aca="false">IF(AND(K46&lt;'판정 기준'!$B$8,OR(AJ46&lt;&gt;"",AP46&lt;&gt;"경기 준비 능력")),K46,0)</f>
        <v>4</v>
      </c>
      <c r="AN46" s="23" t="n">
        <f aca="false">IF(AND(N46&lt;'판정 기준'!$B$8,OR(AJ46&lt;&gt;"",AP46&lt;&gt;"실수 후 회복력")),N46,0)</f>
        <v>0</v>
      </c>
      <c r="AO46" s="23" t="n">
        <f aca="false">IF(AND(P46&lt;'판정 기준'!$B$8,OR(AJ46&lt;&gt;"",AP46&lt;&gt;"자기 통제력")),P46,0)</f>
        <v>4.2</v>
      </c>
      <c r="AP46" s="23" t="str">
        <f aca="false">IF(Q46=MAX(G46,Q46,K46,N46,P46),"사회적 도움 활용",IF(P46=MAX(G46,Q46,K46,N46,P46),"자기 통제력",IF(G46=MAX(G46,Q46,K46,N46,P46),"경기긴장도",IF(K46=MAX(G46,Q46,K46,N46,P46),"경기 준비 능력","실수 후 회복력"))))</f>
        <v>실수 후 회복력</v>
      </c>
    </row>
    <row r="47" customFormat="false" ht="17.15" hidden="false" customHeight="false" outlineLevel="0" collapsed="false">
      <c r="A47" s="13" t="s">
        <v>258</v>
      </c>
      <c r="B47" s="13" t="s">
        <v>187</v>
      </c>
      <c r="C47" s="13" t="s">
        <v>252</v>
      </c>
      <c r="D47" s="14" t="n">
        <v>46183</v>
      </c>
      <c r="E47" s="41" t="s">
        <v>198</v>
      </c>
      <c r="F47" s="42" t="n">
        <v>5.5</v>
      </c>
      <c r="G47" s="42" t="n">
        <v>5.6</v>
      </c>
      <c r="H47" s="42" t="n">
        <v>5.2</v>
      </c>
      <c r="I47" s="42" t="n">
        <v>5.8</v>
      </c>
      <c r="J47" s="42" t="n">
        <v>5.8</v>
      </c>
      <c r="K47" s="42" t="n">
        <v>5.6</v>
      </c>
      <c r="L47" s="42" t="n">
        <v>5.5</v>
      </c>
      <c r="M47" s="42" t="n">
        <v>5.7</v>
      </c>
      <c r="N47" s="42" t="n">
        <v>5.4</v>
      </c>
      <c r="O47" s="42" t="n">
        <v>5.2</v>
      </c>
      <c r="P47" s="42" t="n">
        <v>5.3</v>
      </c>
      <c r="Q47" s="42" t="n">
        <v>5.8</v>
      </c>
      <c r="R47" s="42" t="n">
        <v>5.7</v>
      </c>
      <c r="S47" s="37" t="n">
        <f aca="false">AVERAGE(G47:J47)</f>
        <v>5.6</v>
      </c>
      <c r="T47" s="37" t="n">
        <f aca="false">AVERAGE(K47:M47)</f>
        <v>5.6</v>
      </c>
      <c r="U47" s="37" t="n">
        <f aca="false">AVERAGE(N47:O47)</f>
        <v>5.3</v>
      </c>
      <c r="V47" s="23" t="str">
        <f aca="false">IF(S47&gt;='판정 기준'!$B$3,"H","L")&amp;IF(T47&gt;='판정 기준'!$B$3,"H","L")&amp;IF(U47&gt;='판정 기준'!$B$3,"H","L")</f>
        <v>HHH</v>
      </c>
      <c r="W47" s="36" t="str">
        <f aca="false">INDEX('포지션 정의'!$A$2:$A$9,MATCH(V47,'포지션 정의'!$D$2:$D$9,0))</f>
        <v>H</v>
      </c>
      <c r="X47" s="36" t="str">
        <f aca="false">INDEX('포지션 정의'!$B$2:$B$9,MATCH(V47,'포지션 정의'!$D$2:$D$9,0))</f>
        <v>올라운드 밸런스형</v>
      </c>
      <c r="Y47" s="43" t="str">
        <f aca="false">IF(AJ47="","가장 높은 지표: "&amp;AP47,LEFT(AJ47,LEN(AJ47)-2))</f>
        <v>경기긴장도, 사회적 도움 활용, 경기 준비 능력, 실수 후 회복력, 자기 통제력</v>
      </c>
      <c r="Z47" s="43" t="str">
        <f aca="false">IF(MAX(AK47:AO47)=0,"심화: "&amp;IF(N47=MIN(G47,Q47,K47,N47,P47),"실수 후 회복력",IF(K47=MIN(G47,Q47,K47,N47,P47),"경기 준비 능력",IF(G47=MIN(G47,Q47,K47,N47,P47),"경기긴장도",IF(P47=MIN(G47,Q47,K47,N47,P47),"자기 통제력","사회적 도움 활용")))),IF(MAX(AK47:AO47)&gt;='판정 기준'!$B$8-'판정 기준'!$B$4,IF(AN47=MAX(AK47:AO47),"실수 후 회복력",IF(AM47=MAX(AK47:AO47),"경기 준비 능력",IF(AK47=MAX(AK47:AO47),"경기긴장도",IF(AO47=MAX(AK47:AO47),"자기 통제력","사회적 도움 활용")))),IF(AN47&gt;0,"실수 후 회복력",IF(AM47&gt;0,"경기 준비 능력",IF(AK47&gt;0,"경기긴장도",IF(AO47&gt;0,"자기 통제력","사회적 도움 활용"))))))</f>
        <v>심화: 자기 통제력</v>
      </c>
      <c r="AA47" s="43" t="str">
        <f aca="false">INDEX('포지션 정의'!$L$2:$L$9,MATCH(V47,'포지션 정의'!$D$2:$D$9,0))</f>
        <v>크리스티아누 호날두 · 루카 모드리치 · 버질 반 다이크</v>
      </c>
      <c r="AB47" s="24" t="n">
        <f aca="false">ROUND(100*(1-SQRT(((S47-'포지션 정의'!$N$2)^2+(T47-'포지션 정의'!$O$2)^2+(U47-'포지션 정의'!$P$2)^2)/3)/'판정 기준'!$B$7),0)</f>
        <v>73</v>
      </c>
      <c r="AC47" s="24" t="n">
        <f aca="false">ROUND(100*(1-SQRT(((S47-'포지션 정의'!$N$3)^2+(T47-'포지션 정의'!$O$3)^2+(U47-'포지션 정의'!$P$3)^2)/3)/'판정 기준'!$B$7),0)</f>
        <v>81</v>
      </c>
      <c r="AD47" s="24" t="n">
        <f aca="false">ROUND(100*(1-SQRT(((S47-'포지션 정의'!$N$4)^2+(T47-'포지션 정의'!$O$4)^2+(U47-'포지션 정의'!$P$4)^2)/3)/'판정 기준'!$B$7),0)</f>
        <v>73</v>
      </c>
      <c r="AE47" s="24" t="n">
        <f aca="false">ROUND(100*(1-SQRT(((S47-'포지션 정의'!$N$5)^2+(T47-'포지션 정의'!$O$5)^2+(U47-'포지션 정의'!$P$5)^2)/3)/'판정 기준'!$B$7),0)</f>
        <v>79</v>
      </c>
      <c r="AF47" s="24" t="n">
        <f aca="false">ROUND(100*(1-SQRT(((S47-'포지션 정의'!$N$6)^2+(T47-'포지션 정의'!$O$6)^2+(U47-'포지션 정의'!$P$6)^2)/3)/'판정 기준'!$B$7),0)</f>
        <v>71</v>
      </c>
      <c r="AG47" s="24" t="n">
        <f aca="false">ROUND(100*(1-SQRT(((S47-'포지션 정의'!$N$7)^2+(T47-'포지션 정의'!$O$7)^2+(U47-'포지션 정의'!$P$7)^2)/3)/'판정 기준'!$B$7),0)</f>
        <v>79</v>
      </c>
      <c r="AH47" s="24" t="n">
        <f aca="false">ROUND(100*(1-SQRT(((S47-'포지션 정의'!$N$8)^2+(T47-'포지션 정의'!$O$8)^2+(U47-'포지션 정의'!$P$8)^2)/3)/'판정 기준'!$B$7),0)</f>
        <v>66</v>
      </c>
      <c r="AI47" s="24" t="n">
        <f aca="false">ROUND(100*(1-SQRT(((S47-'포지션 정의'!$N$9)^2+(T47-'포지션 정의'!$O$9)^2+(U47-'포지션 정의'!$P$9)^2)/3)/'판정 기준'!$B$7),0)</f>
        <v>93</v>
      </c>
      <c r="AJ47" s="23" t="str">
        <f aca="false">IF(G47&gt;='판정 기준'!$B$8,"경기긴장도, ","")&amp;IF(Q47&gt;='판정 기준'!$B$8,"사회적 도움 활용, ","")&amp;IF(K47&gt;='판정 기준'!$B$8,"경기 준비 능력, ","")&amp;IF(N47&gt;='판정 기준'!$B$8,"실수 후 회복력, ","")&amp;IF(P47&gt;='판정 기준'!$B$8,"자기 통제력, ","")</f>
        <v>경기긴장도, 사회적 도움 활용, 경기 준비 능력, 실수 후 회복력, 자기 통제력, </v>
      </c>
      <c r="AK47" s="23" t="n">
        <f aca="false">IF(AND(G47&lt;'판정 기준'!$B$8,OR(AJ47&lt;&gt;"",AP47&lt;&gt;"경기긴장도")),G47,0)</f>
        <v>0</v>
      </c>
      <c r="AL47" s="23" t="n">
        <f aca="false">IF(AND(Q47&lt;'판정 기준'!$B$8,OR(AJ47&lt;&gt;"",AP47&lt;&gt;"사회적 도움 활용")),Q47,0)</f>
        <v>0</v>
      </c>
      <c r="AM47" s="23" t="n">
        <f aca="false">IF(AND(K47&lt;'판정 기준'!$B$8,OR(AJ47&lt;&gt;"",AP47&lt;&gt;"경기 준비 능력")),K47,0)</f>
        <v>0</v>
      </c>
      <c r="AN47" s="23" t="n">
        <f aca="false">IF(AND(N47&lt;'판정 기준'!$B$8,OR(AJ47&lt;&gt;"",AP47&lt;&gt;"실수 후 회복력")),N47,0)</f>
        <v>0</v>
      </c>
      <c r="AO47" s="23" t="n">
        <f aca="false">IF(AND(P47&lt;'판정 기준'!$B$8,OR(AJ47&lt;&gt;"",AP47&lt;&gt;"자기 통제력")),P47,0)</f>
        <v>0</v>
      </c>
      <c r="AP47" s="23" t="str">
        <f aca="false">IF(Q47=MAX(G47,Q47,K47,N47,P47),"사회적 도움 활용",IF(P47=MAX(G47,Q47,K47,N47,P47),"자기 통제력",IF(G47=MAX(G47,Q47,K47,N47,P47),"경기긴장도",IF(K47=MAX(G47,Q47,K47,N47,P47),"경기 준비 능력","실수 후 회복력"))))</f>
        <v>사회적 도움 활용</v>
      </c>
    </row>
    <row r="48" customFormat="false" ht="17.15" hidden="false" customHeight="false" outlineLevel="0" collapsed="false">
      <c r="A48" s="13" t="s">
        <v>259</v>
      </c>
      <c r="B48" s="13" t="s">
        <v>187</v>
      </c>
      <c r="C48" s="13" t="s">
        <v>252</v>
      </c>
      <c r="D48" s="14" t="n">
        <v>46183</v>
      </c>
      <c r="E48" s="41" t="s">
        <v>198</v>
      </c>
      <c r="F48" s="42" t="n">
        <v>4.7</v>
      </c>
      <c r="G48" s="42" t="n">
        <v>3.1</v>
      </c>
      <c r="H48" s="42" t="n">
        <v>2.8</v>
      </c>
      <c r="I48" s="42" t="n">
        <v>3.6</v>
      </c>
      <c r="J48" s="42" t="n">
        <v>2.7</v>
      </c>
      <c r="K48" s="42" t="n">
        <v>4.7</v>
      </c>
      <c r="L48" s="42" t="n">
        <v>4.7</v>
      </c>
      <c r="M48" s="42" t="n">
        <v>4.7</v>
      </c>
      <c r="N48" s="42" t="n">
        <v>5.9</v>
      </c>
      <c r="O48" s="42" t="n">
        <v>5.7</v>
      </c>
      <c r="P48" s="42" t="n">
        <v>5</v>
      </c>
      <c r="Q48" s="42" t="n">
        <v>3</v>
      </c>
      <c r="R48" s="42" t="n">
        <v>4.7</v>
      </c>
      <c r="S48" s="37" t="n">
        <f aca="false">AVERAGE(G48:J48)</f>
        <v>3.05</v>
      </c>
      <c r="T48" s="37" t="n">
        <f aca="false">AVERAGE(K48:M48)</f>
        <v>4.7</v>
      </c>
      <c r="U48" s="37" t="n">
        <f aca="false">AVERAGE(N48:O48)</f>
        <v>5.8</v>
      </c>
      <c r="V48" s="23" t="str">
        <f aca="false">IF(S48&gt;='판정 기준'!$B$3,"H","L")&amp;IF(T48&gt;='판정 기준'!$B$3,"H","L")&amp;IF(U48&gt;='판정 기준'!$B$3,"H","L")</f>
        <v>LHH</v>
      </c>
      <c r="W48" s="36" t="str">
        <f aca="false">INDEX('포지션 정의'!$A$2:$A$9,MATCH(V48,'포지션 정의'!$D$2:$D$9,0))</f>
        <v>F</v>
      </c>
      <c r="X48" s="36" t="str">
        <f aca="false">INDEX('포지션 정의'!$B$2:$B$9,MATCH(V48,'포지션 정의'!$D$2:$D$9,0))</f>
        <v>성실한 도전자형</v>
      </c>
      <c r="Y48" s="43" t="str">
        <f aca="false">IF(AJ48="","가장 높은 지표: "&amp;AP48,LEFT(AJ48,LEN(AJ48)-2))</f>
        <v>실수 후 회복력, 자기 통제력</v>
      </c>
      <c r="Z48" s="43" t="str">
        <f aca="false">IF(MAX(AK48:AO48)=0,"심화: "&amp;IF(N48=MIN(G48,Q48,K48,N48,P48),"실수 후 회복력",IF(K48=MIN(G48,Q48,K48,N48,P48),"경기 준비 능력",IF(G48=MIN(G48,Q48,K48,N48,P48),"경기긴장도",IF(P48=MIN(G48,Q48,K48,N48,P48),"자기 통제력","사회적 도움 활용")))),IF(MAX(AK48:AO48)&gt;='판정 기준'!$B$8-'판정 기준'!$B$4,IF(AN48=MAX(AK48:AO48),"실수 후 회복력",IF(AM48=MAX(AK48:AO48),"경기 준비 능력",IF(AK48=MAX(AK48:AO48),"경기긴장도",IF(AO48=MAX(AK48:AO48),"자기 통제력","사회적 도움 활용")))),IF(AN48&gt;0,"실수 후 회복력",IF(AM48&gt;0,"경기 준비 능력",IF(AK48&gt;0,"경기긴장도",IF(AO48&gt;0,"자기 통제력","사회적 도움 활용"))))))</f>
        <v>경기 준비 능력</v>
      </c>
      <c r="AA48" s="43" t="str">
        <f aca="false">INDEX('포지션 정의'!$L$2:$L$9,MATCH(V48,'포지션 정의'!$D$2:$D$9,0))</f>
        <v>제이미 바디 · 은골로 캉테 · 박지성</v>
      </c>
      <c r="AB48" s="24" t="n">
        <f aca="false">ROUND(100*(1-SQRT(((S48-'포지션 정의'!$N$2)^2+(T48-'포지션 정의'!$O$2)^2+(U48-'포지션 정의'!$P$2)^2)/3)/'판정 기준'!$B$7),0)</f>
        <v>75</v>
      </c>
      <c r="AC48" s="24" t="n">
        <f aca="false">ROUND(100*(1-SQRT(((S48-'포지션 정의'!$N$3)^2+(T48-'포지션 정의'!$O$3)^2+(U48-'포지션 정의'!$P$3)^2)/3)/'판정 기준'!$B$7),0)</f>
        <v>66</v>
      </c>
      <c r="AD48" s="24" t="n">
        <f aca="false">ROUND(100*(1-SQRT(((S48-'포지션 정의'!$N$4)^2+(T48-'포지션 정의'!$O$4)^2+(U48-'포지션 정의'!$P$4)^2)/3)/'판정 기준'!$B$7),0)</f>
        <v>65</v>
      </c>
      <c r="AE48" s="24" t="n">
        <f aca="false">ROUND(100*(1-SQRT(((S48-'포지션 정의'!$N$5)^2+(T48-'포지션 정의'!$O$5)^2+(U48-'포지션 정의'!$P$5)^2)/3)/'판정 기준'!$B$7),0)</f>
        <v>72</v>
      </c>
      <c r="AF48" s="24" t="n">
        <f aca="false">ROUND(100*(1-SQRT(((S48-'포지션 정의'!$N$6)^2+(T48-'포지션 정의'!$O$6)^2+(U48-'포지션 정의'!$P$6)^2)/3)/'판정 기준'!$B$7),0)</f>
        <v>85</v>
      </c>
      <c r="AG48" s="24" t="n">
        <f aca="false">ROUND(100*(1-SQRT(((S48-'포지션 정의'!$N$7)^2+(T48-'포지션 정의'!$O$7)^2+(U48-'포지션 정의'!$P$7)^2)/3)/'판정 기준'!$B$7),0)</f>
        <v>87</v>
      </c>
      <c r="AH48" s="24" t="n">
        <f aca="false">ROUND(100*(1-SQRT(((S48-'포지션 정의'!$N$8)^2+(T48-'포지션 정의'!$O$8)^2+(U48-'포지션 정의'!$P$8)^2)/3)/'판정 기준'!$B$7),0)</f>
        <v>73</v>
      </c>
      <c r="AI48" s="24" t="n">
        <f aca="false">ROUND(100*(1-SQRT(((S48-'포지션 정의'!$N$9)^2+(T48-'포지션 정의'!$O$9)^2+(U48-'포지션 정의'!$P$9)^2)/3)/'판정 기준'!$B$7),0)</f>
        <v>74</v>
      </c>
      <c r="AJ48" s="23" t="str">
        <f aca="false">IF(G48&gt;='판정 기준'!$B$8,"경기긴장도, ","")&amp;IF(Q48&gt;='판정 기준'!$B$8,"사회적 도움 활용, ","")&amp;IF(K48&gt;='판정 기준'!$B$8,"경기 준비 능력, ","")&amp;IF(N48&gt;='판정 기준'!$B$8,"실수 후 회복력, ","")&amp;IF(P48&gt;='판정 기준'!$B$8,"자기 통제력, ","")</f>
        <v>실수 후 회복력, 자기 통제력, </v>
      </c>
      <c r="AK48" s="23" t="n">
        <f aca="false">IF(AND(G48&lt;'판정 기준'!$B$8,OR(AJ48&lt;&gt;"",AP48&lt;&gt;"경기긴장도")),G48,0)</f>
        <v>3.1</v>
      </c>
      <c r="AL48" s="23" t="n">
        <f aca="false">IF(AND(Q48&lt;'판정 기준'!$B$8,OR(AJ48&lt;&gt;"",AP48&lt;&gt;"사회적 도움 활용")),Q48,0)</f>
        <v>3</v>
      </c>
      <c r="AM48" s="23" t="n">
        <f aca="false">IF(AND(K48&lt;'판정 기준'!$B$8,OR(AJ48&lt;&gt;"",AP48&lt;&gt;"경기 준비 능력")),K48,0)</f>
        <v>4.7</v>
      </c>
      <c r="AN48" s="23" t="n">
        <f aca="false">IF(AND(N48&lt;'판정 기준'!$B$8,OR(AJ48&lt;&gt;"",AP48&lt;&gt;"실수 후 회복력")),N48,0)</f>
        <v>0</v>
      </c>
      <c r="AO48" s="23" t="n">
        <f aca="false">IF(AND(P48&lt;'판정 기준'!$B$8,OR(AJ48&lt;&gt;"",AP48&lt;&gt;"자기 통제력")),P48,0)</f>
        <v>0</v>
      </c>
      <c r="AP48" s="23" t="str">
        <f aca="false">IF(Q48=MAX(G48,Q48,K48,N48,P48),"사회적 도움 활용",IF(P48=MAX(G48,Q48,K48,N48,P48),"자기 통제력",IF(G48=MAX(G48,Q48,K48,N48,P48),"경기긴장도",IF(K48=MAX(G48,Q48,K48,N48,P48),"경기 준비 능력","실수 후 회복력"))))</f>
        <v>실수 후 회복력</v>
      </c>
    </row>
    <row r="49" customFormat="false" ht="17.15" hidden="false" customHeight="false" outlineLevel="0" collapsed="false">
      <c r="A49" s="13" t="s">
        <v>260</v>
      </c>
      <c r="B49" s="13" t="s">
        <v>191</v>
      </c>
      <c r="C49" s="13" t="s">
        <v>252</v>
      </c>
      <c r="D49" s="14" t="n">
        <v>46183</v>
      </c>
      <c r="E49" s="41" t="s">
        <v>198</v>
      </c>
      <c r="F49" s="42" t="n">
        <v>3.6</v>
      </c>
      <c r="G49" s="42" t="n">
        <v>3.4</v>
      </c>
      <c r="H49" s="42" t="n">
        <v>3.3</v>
      </c>
      <c r="I49" s="42" t="n">
        <v>3.8</v>
      </c>
      <c r="J49" s="42" t="n">
        <v>3.3</v>
      </c>
      <c r="K49" s="42" t="n">
        <v>3.5</v>
      </c>
      <c r="L49" s="42" t="n">
        <v>4</v>
      </c>
      <c r="M49" s="42" t="n">
        <v>3.1</v>
      </c>
      <c r="N49" s="42" t="n">
        <v>3.3</v>
      </c>
      <c r="O49" s="42" t="n">
        <v>3.8</v>
      </c>
      <c r="P49" s="42" t="n">
        <v>4.2</v>
      </c>
      <c r="Q49" s="42" t="n">
        <v>4.6</v>
      </c>
      <c r="R49" s="42" t="n">
        <v>4.7</v>
      </c>
      <c r="S49" s="37" t="n">
        <f aca="false">AVERAGE(G49:J49)</f>
        <v>3.45</v>
      </c>
      <c r="T49" s="37" t="n">
        <f aca="false">AVERAGE(K49:M49)</f>
        <v>3.53333333333333</v>
      </c>
      <c r="U49" s="37" t="n">
        <f aca="false">AVERAGE(N49:O49)</f>
        <v>3.55</v>
      </c>
      <c r="V49" s="23" t="str">
        <f aca="false">IF(S49&gt;='판정 기준'!$B$3,"H","L")&amp;IF(T49&gt;='판정 기준'!$B$3,"H","L")&amp;IF(U49&gt;='판정 기준'!$B$3,"H","L")</f>
        <v>LLL</v>
      </c>
      <c r="W49" s="36" t="str">
        <f aca="false">INDEX('포지션 정의'!$A$2:$A$9,MATCH(V49,'포지션 정의'!$D$2:$D$9,0))</f>
        <v>G</v>
      </c>
      <c r="X49" s="36" t="str">
        <f aca="false">INDEX('포지션 정의'!$B$2:$B$9,MATCH(V49,'포지션 정의'!$D$2:$D$9,0))</f>
        <v>스펀지 흡수형</v>
      </c>
      <c r="Y49" s="43" t="str">
        <f aca="false">IF(AJ49="","가장 높은 지표: "&amp;AP49,LEFT(AJ49,LEN(AJ49)-2))</f>
        <v>가장 높은 지표: 사회적 도움 활용</v>
      </c>
      <c r="Z49" s="43" t="str">
        <f aca="false">IF(MAX(AK49:AO49)=0,"심화: "&amp;IF(N49=MIN(G49,Q49,K49,N49,P49),"실수 후 회복력",IF(K49=MIN(G49,Q49,K49,N49,P49),"경기 준비 능력",IF(G49=MIN(G49,Q49,K49,N49,P49),"경기긴장도",IF(P49=MIN(G49,Q49,K49,N49,P49),"자기 통제력","사회적 도움 활용")))),IF(MAX(AK49:AO49)&gt;='판정 기준'!$B$8-'판정 기준'!$B$4,IF(AN49=MAX(AK49:AO49),"실수 후 회복력",IF(AM49=MAX(AK49:AO49),"경기 준비 능력",IF(AK49=MAX(AK49:AO49),"경기긴장도",IF(AO49=MAX(AK49:AO49),"자기 통제력","사회적 도움 활용")))),IF(AN49&gt;0,"실수 후 회복력",IF(AM49&gt;0,"경기 준비 능력",IF(AK49&gt;0,"경기긴장도",IF(AO49&gt;0,"자기 통제력","사회적 도움 활용"))))))</f>
        <v>실수 후 회복력</v>
      </c>
      <c r="AA49" s="43" t="str">
        <f aca="false">INDEX('포지션 정의'!$L$2:$L$9,MATCH(V49,'포지션 정의'!$D$2:$D$9,0))</f>
        <v>디디에 드로그바 · 앙투안 그리즈만 · 모하메드 살라</v>
      </c>
      <c r="AB49" s="24" t="n">
        <f aca="false">ROUND(100*(1-SQRT(((S49-'포지션 정의'!$N$2)^2+(T49-'포지션 정의'!$O$2)^2+(U49-'포지션 정의'!$P$2)^2)/3)/'판정 기준'!$B$7),0)</f>
        <v>80</v>
      </c>
      <c r="AC49" s="24" t="n">
        <f aca="false">ROUND(100*(1-SQRT(((S49-'포지션 정의'!$N$3)^2+(T49-'포지션 정의'!$O$3)^2+(U49-'포지션 정의'!$P$3)^2)/3)/'판정 기준'!$B$7),0)</f>
        <v>72</v>
      </c>
      <c r="AD49" s="24" t="n">
        <f aca="false">ROUND(100*(1-SQRT(((S49-'포지션 정의'!$N$4)^2+(T49-'포지션 정의'!$O$4)^2+(U49-'포지션 정의'!$P$4)^2)/3)/'판정 기준'!$B$7),0)</f>
        <v>79</v>
      </c>
      <c r="AE49" s="24" t="n">
        <f aca="false">ROUND(100*(1-SQRT(((S49-'포지션 정의'!$N$5)^2+(T49-'포지션 정의'!$O$5)^2+(U49-'포지션 정의'!$P$5)^2)/3)/'판정 기준'!$B$7),0)</f>
        <v>72</v>
      </c>
      <c r="AF49" s="24" t="n">
        <f aca="false">ROUND(100*(1-SQRT(((S49-'포지션 정의'!$N$6)^2+(T49-'포지션 정의'!$O$6)^2+(U49-'포지션 정의'!$P$6)^2)/3)/'판정 기준'!$B$7),0)</f>
        <v>80</v>
      </c>
      <c r="AG49" s="24" t="n">
        <f aca="false">ROUND(100*(1-SQRT(((S49-'포지션 정의'!$N$7)^2+(T49-'포지션 정의'!$O$7)^2+(U49-'포지션 정의'!$P$7)^2)/3)/'판정 기준'!$B$7),0)</f>
        <v>73</v>
      </c>
      <c r="AH49" s="24" t="n">
        <f aca="false">ROUND(100*(1-SQRT(((S49-'포지션 정의'!$N$8)^2+(T49-'포지션 정의'!$O$8)^2+(U49-'포지션 정의'!$P$8)^2)/3)/'판정 기준'!$B$7),0)</f>
        <v>94</v>
      </c>
      <c r="AI49" s="24" t="n">
        <f aca="false">ROUND(100*(1-SQRT(((S49-'포지션 정의'!$N$9)^2+(T49-'포지션 정의'!$O$9)^2+(U49-'포지션 정의'!$P$9)^2)/3)/'판정 기준'!$B$7),0)</f>
        <v>66</v>
      </c>
      <c r="AJ49" s="23" t="str">
        <f aca="false">IF(G49&gt;='판정 기준'!$B$8,"경기긴장도, ","")&amp;IF(Q49&gt;='판정 기준'!$B$8,"사회적 도움 활용, ","")&amp;IF(K49&gt;='판정 기준'!$B$8,"경기 준비 능력, ","")&amp;IF(N49&gt;='판정 기준'!$B$8,"실수 후 회복력, ","")&amp;IF(P49&gt;='판정 기준'!$B$8,"자기 통제력, ","")</f>
        <v/>
      </c>
      <c r="AK49" s="23" t="n">
        <f aca="false">IF(AND(G49&lt;'판정 기준'!$B$8,OR(AJ49&lt;&gt;"",AP49&lt;&gt;"경기긴장도")),G49,0)</f>
        <v>3.4</v>
      </c>
      <c r="AL49" s="23" t="n">
        <f aca="false">IF(AND(Q49&lt;'판정 기준'!$B$8,OR(AJ49&lt;&gt;"",AP49&lt;&gt;"사회적 도움 활용")),Q49,0)</f>
        <v>0</v>
      </c>
      <c r="AM49" s="23" t="n">
        <f aca="false">IF(AND(K49&lt;'판정 기준'!$B$8,OR(AJ49&lt;&gt;"",AP49&lt;&gt;"경기 준비 능력")),K49,0)</f>
        <v>3.5</v>
      </c>
      <c r="AN49" s="23" t="n">
        <f aca="false">IF(AND(N49&lt;'판정 기준'!$B$8,OR(AJ49&lt;&gt;"",AP49&lt;&gt;"실수 후 회복력")),N49,0)</f>
        <v>3.3</v>
      </c>
      <c r="AO49" s="23" t="n">
        <f aca="false">IF(AND(P49&lt;'판정 기준'!$B$8,OR(AJ49&lt;&gt;"",AP49&lt;&gt;"자기 통제력")),P49,0)</f>
        <v>4.2</v>
      </c>
      <c r="AP49" s="23" t="str">
        <f aca="false">IF(Q49=MAX(G49,Q49,K49,N49,P49),"사회적 도움 활용",IF(P49=MAX(G49,Q49,K49,N49,P49),"자기 통제력",IF(G49=MAX(G49,Q49,K49,N49,P49),"경기긴장도",IF(K49=MAX(G49,Q49,K49,N49,P49),"경기 준비 능력","실수 후 회복력"))))</f>
        <v>사회적 도움 활용</v>
      </c>
    </row>
    <row r="50" customFormat="false" ht="17.15" hidden="false" customHeight="false" outlineLevel="0" collapsed="false">
      <c r="A50" s="13" t="s">
        <v>261</v>
      </c>
      <c r="B50" s="13" t="s">
        <v>187</v>
      </c>
      <c r="C50" s="13" t="s">
        <v>252</v>
      </c>
      <c r="D50" s="14" t="n">
        <v>46183</v>
      </c>
      <c r="E50" s="41" t="s">
        <v>198</v>
      </c>
      <c r="F50" s="42" t="n">
        <v>4</v>
      </c>
      <c r="G50" s="42" t="n">
        <v>3.3</v>
      </c>
      <c r="H50" s="42" t="n">
        <v>3.3</v>
      </c>
      <c r="I50" s="42" t="n">
        <v>3.8</v>
      </c>
      <c r="J50" s="42" t="n">
        <v>3.5</v>
      </c>
      <c r="K50" s="42" t="n">
        <v>4.7</v>
      </c>
      <c r="L50" s="42" t="n">
        <v>4.7</v>
      </c>
      <c r="M50" s="42" t="n">
        <v>4.7</v>
      </c>
      <c r="N50" s="42" t="n">
        <v>4.1</v>
      </c>
      <c r="O50" s="42" t="n">
        <v>4.8</v>
      </c>
      <c r="P50" s="42" t="n">
        <v>3.7</v>
      </c>
      <c r="Q50" s="42" t="n">
        <v>4.4</v>
      </c>
      <c r="R50" s="42" t="n">
        <v>6</v>
      </c>
      <c r="S50" s="37" t="n">
        <f aca="false">AVERAGE(G50:J50)</f>
        <v>3.475</v>
      </c>
      <c r="T50" s="37" t="n">
        <f aca="false">AVERAGE(K50:M50)</f>
        <v>4.7</v>
      </c>
      <c r="U50" s="37" t="n">
        <f aca="false">AVERAGE(N50:O50)</f>
        <v>4.45</v>
      </c>
      <c r="V50" s="23" t="str">
        <f aca="false">IF(S50&gt;='판정 기준'!$B$3,"H","L")&amp;IF(T50&gt;='판정 기준'!$B$3,"H","L")&amp;IF(U50&gt;='판정 기준'!$B$3,"H","L")</f>
        <v>LHL</v>
      </c>
      <c r="W50" s="36" t="str">
        <f aca="false">INDEX('포지션 정의'!$A$2:$A$9,MATCH(V50,'포지션 정의'!$D$2:$D$9,0))</f>
        <v>A</v>
      </c>
      <c r="X50" s="36" t="str">
        <f aca="false">INDEX('포지션 정의'!$B$2:$B$9,MATCH(V50,'포지션 정의'!$D$2:$D$9,0))</f>
        <v>섬세한 준비형</v>
      </c>
      <c r="Y50" s="43" t="str">
        <f aca="false">IF(AJ50="","가장 높은 지표: "&amp;AP50,LEFT(AJ50,LEN(AJ50)-2))</f>
        <v>가장 높은 지표: 경기 준비 능력</v>
      </c>
      <c r="Z50" s="43" t="str">
        <f aca="false">IF(MAX(AK50:AO50)=0,"심화: "&amp;IF(N50=MIN(G50,Q50,K50,N50,P50),"실수 후 회복력",IF(K50=MIN(G50,Q50,K50,N50,P50),"경기 준비 능력",IF(G50=MIN(G50,Q50,K50,N50,P50),"경기긴장도",IF(P50=MIN(G50,Q50,K50,N50,P50),"자기 통제력","사회적 도움 활용")))),IF(MAX(AK50:AO50)&gt;='판정 기준'!$B$8-'판정 기준'!$B$4,IF(AN50=MAX(AK50:AO50),"실수 후 회복력",IF(AM50=MAX(AK50:AO50),"경기 준비 능력",IF(AK50=MAX(AK50:AO50),"경기긴장도",IF(AO50=MAX(AK50:AO50),"자기 통제력","사회적 도움 활용")))),IF(AN50&gt;0,"실수 후 회복력",IF(AM50&gt;0,"경기 준비 능력",IF(AK50&gt;0,"경기긴장도",IF(AO50&gt;0,"자기 통제력","사회적 도움 활용"))))))</f>
        <v>실수 후 회복력</v>
      </c>
      <c r="AA50" s="43" t="str">
        <f aca="false">INDEX('포지션 정의'!$L$2:$L$9,MATCH(V50,'포지션 정의'!$D$2:$D$9,0))</f>
        <v>로베르트 레반도프스키 · 제임스 밀너 · 마르틴 외데고르</v>
      </c>
      <c r="AB50" s="24" t="n">
        <f aca="false">ROUND(100*(1-SQRT(((S50-'포지션 정의'!$N$2)^2+(T50-'포지션 정의'!$O$2)^2+(U50-'포지션 정의'!$P$2)^2)/3)/'판정 기준'!$B$7),0)</f>
        <v>90</v>
      </c>
      <c r="AC50" s="24" t="n">
        <f aca="false">ROUND(100*(1-SQRT(((S50-'포지션 정의'!$N$3)^2+(T50-'포지션 정의'!$O$3)^2+(U50-'포지션 정의'!$P$3)^2)/3)/'판정 기준'!$B$7),0)</f>
        <v>78</v>
      </c>
      <c r="AD50" s="24" t="n">
        <f aca="false">ROUND(100*(1-SQRT(((S50-'포지션 정의'!$N$4)^2+(T50-'포지션 정의'!$O$4)^2+(U50-'포지션 정의'!$P$4)^2)/3)/'판정 기준'!$B$7),0)</f>
        <v>76</v>
      </c>
      <c r="AE50" s="24" t="n">
        <f aca="false">ROUND(100*(1-SQRT(((S50-'포지션 정의'!$N$5)^2+(T50-'포지션 정의'!$O$5)^2+(U50-'포지션 정의'!$P$5)^2)/3)/'판정 기준'!$B$7),0)</f>
        <v>76</v>
      </c>
      <c r="AF50" s="24" t="n">
        <f aca="false">ROUND(100*(1-SQRT(((S50-'포지션 정의'!$N$6)^2+(T50-'포지션 정의'!$O$6)^2+(U50-'포지션 정의'!$P$6)^2)/3)/'판정 기준'!$B$7),0)</f>
        <v>86</v>
      </c>
      <c r="AG50" s="24" t="n">
        <f aca="false">ROUND(100*(1-SQRT(((S50-'포지션 정의'!$N$7)^2+(T50-'포지션 정의'!$O$7)^2+(U50-'포지션 정의'!$P$7)^2)/3)/'판정 기준'!$B$7),0)</f>
        <v>89</v>
      </c>
      <c r="AH50" s="24" t="n">
        <f aca="false">ROUND(100*(1-SQRT(((S50-'포지션 정의'!$N$8)^2+(T50-'포지션 정의'!$O$8)^2+(U50-'포지션 정의'!$P$8)^2)/3)/'판정 기준'!$B$7),0)</f>
        <v>87</v>
      </c>
      <c r="AI50" s="24" t="n">
        <f aca="false">ROUND(100*(1-SQRT(((S50-'포지션 정의'!$N$9)^2+(T50-'포지션 정의'!$O$9)^2+(U50-'포지션 정의'!$P$9)^2)/3)/'판정 기준'!$B$7),0)</f>
        <v>78</v>
      </c>
      <c r="AJ50" s="23" t="str">
        <f aca="false">IF(G50&gt;='판정 기준'!$B$8,"경기긴장도, ","")&amp;IF(Q50&gt;='판정 기준'!$B$8,"사회적 도움 활용, ","")&amp;IF(K50&gt;='판정 기준'!$B$8,"경기 준비 능력, ","")&amp;IF(N50&gt;='판정 기준'!$B$8,"실수 후 회복력, ","")&amp;IF(P50&gt;='판정 기준'!$B$8,"자기 통제력, ","")</f>
        <v/>
      </c>
      <c r="AK50" s="23" t="n">
        <f aca="false">IF(AND(G50&lt;'판정 기준'!$B$8,OR(AJ50&lt;&gt;"",AP50&lt;&gt;"경기긴장도")),G50,0)</f>
        <v>3.3</v>
      </c>
      <c r="AL50" s="23" t="n">
        <f aca="false">IF(AND(Q50&lt;'판정 기준'!$B$8,OR(AJ50&lt;&gt;"",AP50&lt;&gt;"사회적 도움 활용")),Q50,0)</f>
        <v>4.4</v>
      </c>
      <c r="AM50" s="23" t="n">
        <f aca="false">IF(AND(K50&lt;'판정 기준'!$B$8,OR(AJ50&lt;&gt;"",AP50&lt;&gt;"경기 준비 능력")),K50,0)</f>
        <v>0</v>
      </c>
      <c r="AN50" s="23" t="n">
        <f aca="false">IF(AND(N50&lt;'판정 기준'!$B$8,OR(AJ50&lt;&gt;"",AP50&lt;&gt;"실수 후 회복력")),N50,0)</f>
        <v>4.1</v>
      </c>
      <c r="AO50" s="23" t="n">
        <f aca="false">IF(AND(P50&lt;'판정 기준'!$B$8,OR(AJ50&lt;&gt;"",AP50&lt;&gt;"자기 통제력")),P50,0)</f>
        <v>3.7</v>
      </c>
      <c r="AP50" s="23" t="str">
        <f aca="false">IF(Q50=MAX(G50,Q50,K50,N50,P50),"사회적 도움 활용",IF(P50=MAX(G50,Q50,K50,N50,P50),"자기 통제력",IF(G50=MAX(G50,Q50,K50,N50,P50),"경기긴장도",IF(K50=MAX(G50,Q50,K50,N50,P50),"경기 준비 능력","실수 후 회복력"))))</f>
        <v>경기 준비 능력</v>
      </c>
    </row>
    <row r="51" customFormat="false" ht="17.15" hidden="false" customHeight="false" outlineLevel="0" collapsed="false">
      <c r="A51" s="13" t="s">
        <v>262</v>
      </c>
      <c r="B51" s="13" t="s">
        <v>187</v>
      </c>
      <c r="C51" s="13" t="s">
        <v>252</v>
      </c>
      <c r="D51" s="14" t="n">
        <v>46183</v>
      </c>
      <c r="E51" s="41" t="s">
        <v>198</v>
      </c>
      <c r="F51" s="42" t="n">
        <v>4.8</v>
      </c>
      <c r="G51" s="42" t="n">
        <v>4.9</v>
      </c>
      <c r="H51" s="42" t="n">
        <v>5.7</v>
      </c>
      <c r="I51" s="42" t="n">
        <v>4.4</v>
      </c>
      <c r="J51" s="42" t="n">
        <v>5.3</v>
      </c>
      <c r="K51" s="42" t="n">
        <v>4.5</v>
      </c>
      <c r="L51" s="42" t="n">
        <v>4.5</v>
      </c>
      <c r="M51" s="42" t="n">
        <v>4.4</v>
      </c>
      <c r="N51" s="42" t="n">
        <v>5</v>
      </c>
      <c r="O51" s="42" t="n">
        <v>5.2</v>
      </c>
      <c r="P51" s="42" t="n">
        <v>4.7</v>
      </c>
      <c r="Q51" s="42" t="n">
        <v>4.4</v>
      </c>
      <c r="R51" s="42" t="n">
        <v>5</v>
      </c>
      <c r="S51" s="37" t="n">
        <f aca="false">AVERAGE(G51:J51)</f>
        <v>5.075</v>
      </c>
      <c r="T51" s="37" t="n">
        <f aca="false">AVERAGE(K51:M51)</f>
        <v>4.46666666666667</v>
      </c>
      <c r="U51" s="37" t="n">
        <f aca="false">AVERAGE(N51:O51)</f>
        <v>5.1</v>
      </c>
      <c r="V51" s="23" t="str">
        <f aca="false">IF(S51&gt;='판정 기준'!$B$3,"H","L")&amp;IF(T51&gt;='판정 기준'!$B$3,"H","L")&amp;IF(U51&gt;='판정 기준'!$B$3,"H","L")</f>
        <v>HLH</v>
      </c>
      <c r="W51" s="36" t="str">
        <f aca="false">INDEX('포지션 정의'!$A$2:$A$9,MATCH(V51,'포지션 정의'!$D$2:$D$9,0))</f>
        <v>D</v>
      </c>
      <c r="X51" s="36" t="str">
        <f aca="false">INDEX('포지션 정의'!$B$2:$B$9,MATCH(V51,'포지션 정의'!$D$2:$D$9,0))</f>
        <v>실전 승부사형</v>
      </c>
      <c r="Y51" s="43" t="str">
        <f aca="false">IF(AJ51="","가장 높은 지표: "&amp;AP51,LEFT(AJ51,LEN(AJ51)-2))</f>
        <v>경기긴장도, 실수 후 회복력</v>
      </c>
      <c r="Z51" s="43" t="str">
        <f aca="false">IF(MAX(AK51:AO51)=0,"심화: "&amp;IF(N51=MIN(G51,Q51,K51,N51,P51),"실수 후 회복력",IF(K51=MIN(G51,Q51,K51,N51,P51),"경기 준비 능력",IF(G51=MIN(G51,Q51,K51,N51,P51),"경기긴장도",IF(P51=MIN(G51,Q51,K51,N51,P51),"자기 통제력","사회적 도움 활용")))),IF(MAX(AK51:AO51)&gt;='판정 기준'!$B$8-'판정 기준'!$B$4,IF(AN51=MAX(AK51:AO51),"실수 후 회복력",IF(AM51=MAX(AK51:AO51),"경기 준비 능력",IF(AK51=MAX(AK51:AO51),"경기긴장도",IF(AO51=MAX(AK51:AO51),"자기 통제력","사회적 도움 활용")))),IF(AN51&gt;0,"실수 후 회복력",IF(AM51&gt;0,"경기 준비 능력",IF(AK51&gt;0,"경기긴장도",IF(AO51&gt;0,"자기 통제력","사회적 도움 활용"))))))</f>
        <v>자기 통제력</v>
      </c>
      <c r="AA51" s="43" t="str">
        <f aca="false">INDEX('포지션 정의'!$L$2:$L$9,MATCH(V51,'포지션 정의'!$D$2:$D$9,0))</f>
        <v>즐라탄 이브라히모비치 · 호나우지뉴 · 디에고 마라도나</v>
      </c>
      <c r="AB51" s="24" t="n">
        <f aca="false">ROUND(100*(1-SQRT(((S51-'포지션 정의'!$N$2)^2+(T51-'포지션 정의'!$O$2)^2+(U51-'포지션 정의'!$P$2)^2)/3)/'판정 기준'!$B$7),0)</f>
        <v>77</v>
      </c>
      <c r="AC51" s="24" t="n">
        <f aca="false">ROUND(100*(1-SQRT(((S51-'포지션 정의'!$N$3)^2+(T51-'포지션 정의'!$O$3)^2+(U51-'포지션 정의'!$P$3)^2)/3)/'판정 기준'!$B$7),0)</f>
        <v>83</v>
      </c>
      <c r="AD51" s="24" t="n">
        <f aca="false">ROUND(100*(1-SQRT(((S51-'포지션 정의'!$N$4)^2+(T51-'포지션 정의'!$O$4)^2+(U51-'포지션 정의'!$P$4)^2)/3)/'판정 기준'!$B$7),0)</f>
        <v>83</v>
      </c>
      <c r="AE51" s="24" t="n">
        <f aca="false">ROUND(100*(1-SQRT(((S51-'포지션 정의'!$N$5)^2+(T51-'포지션 정의'!$O$5)^2+(U51-'포지션 정의'!$P$5)^2)/3)/'판정 기준'!$B$7),0)</f>
        <v>92</v>
      </c>
      <c r="AF51" s="24" t="n">
        <f aca="false">ROUND(100*(1-SQRT(((S51-'포지션 정의'!$N$6)^2+(T51-'포지션 정의'!$O$6)^2+(U51-'포지션 정의'!$P$6)^2)/3)/'판정 기준'!$B$7),0)</f>
        <v>83</v>
      </c>
      <c r="AG51" s="24" t="n">
        <f aca="false">ROUND(100*(1-SQRT(((S51-'포지션 정의'!$N$7)^2+(T51-'포지션 정의'!$O$7)^2+(U51-'포지션 정의'!$P$7)^2)/3)/'판정 기준'!$B$7),0)</f>
        <v>83</v>
      </c>
      <c r="AH51" s="24" t="n">
        <f aca="false">ROUND(100*(1-SQRT(((S51-'포지션 정의'!$N$8)^2+(T51-'포지션 정의'!$O$8)^2+(U51-'포지션 정의'!$P$8)^2)/3)/'판정 기준'!$B$7),0)</f>
        <v>78</v>
      </c>
      <c r="AI51" s="24" t="n">
        <f aca="false">ROUND(100*(1-SQRT(((S51-'포지션 정의'!$N$9)^2+(T51-'포지션 정의'!$O$9)^2+(U51-'포지션 정의'!$P$9)^2)/3)/'판정 기준'!$B$7),0)</f>
        <v>91</v>
      </c>
      <c r="AJ51" s="23" t="str">
        <f aca="false">IF(G51&gt;='판정 기준'!$B$8,"경기긴장도, ","")&amp;IF(Q51&gt;='판정 기준'!$B$8,"사회적 도움 활용, ","")&amp;IF(K51&gt;='판정 기준'!$B$8,"경기 준비 능력, ","")&amp;IF(N51&gt;='판정 기준'!$B$8,"실수 후 회복력, ","")&amp;IF(P51&gt;='판정 기준'!$B$8,"자기 통제력, ","")</f>
        <v>경기긴장도, 실수 후 회복력, </v>
      </c>
      <c r="AK51" s="23" t="n">
        <f aca="false">IF(AND(G51&lt;'판정 기준'!$B$8,OR(AJ51&lt;&gt;"",AP51&lt;&gt;"경기긴장도")),G51,0)</f>
        <v>0</v>
      </c>
      <c r="AL51" s="23" t="n">
        <f aca="false">IF(AND(Q51&lt;'판정 기준'!$B$8,OR(AJ51&lt;&gt;"",AP51&lt;&gt;"사회적 도움 활용")),Q51,0)</f>
        <v>4.4</v>
      </c>
      <c r="AM51" s="23" t="n">
        <f aca="false">IF(AND(K51&lt;'판정 기준'!$B$8,OR(AJ51&lt;&gt;"",AP51&lt;&gt;"경기 준비 능력")),K51,0)</f>
        <v>4.5</v>
      </c>
      <c r="AN51" s="23" t="n">
        <f aca="false">IF(AND(N51&lt;'판정 기준'!$B$8,OR(AJ51&lt;&gt;"",AP51&lt;&gt;"실수 후 회복력")),N51,0)</f>
        <v>0</v>
      </c>
      <c r="AO51" s="23" t="n">
        <f aca="false">IF(AND(P51&lt;'판정 기준'!$B$8,OR(AJ51&lt;&gt;"",AP51&lt;&gt;"자기 통제력")),P51,0)</f>
        <v>4.7</v>
      </c>
      <c r="AP51" s="23" t="str">
        <f aca="false">IF(Q51=MAX(G51,Q51,K51,N51,P51),"사회적 도움 활용",IF(P51=MAX(G51,Q51,K51,N51,P51),"자기 통제력",IF(G51=MAX(G51,Q51,K51,N51,P51),"경기긴장도",IF(K51=MAX(G51,Q51,K51,N51,P51),"경기 준비 능력","실수 후 회복력"))))</f>
        <v>실수 후 회복력</v>
      </c>
    </row>
    <row r="52" customFormat="false" ht="17.15" hidden="false" customHeight="false" outlineLevel="0" collapsed="false">
      <c r="A52" s="13" t="s">
        <v>263</v>
      </c>
      <c r="B52" s="13" t="s">
        <v>187</v>
      </c>
      <c r="C52" s="13" t="s">
        <v>252</v>
      </c>
      <c r="D52" s="14" t="n">
        <v>46182</v>
      </c>
      <c r="E52" s="41" t="s">
        <v>198</v>
      </c>
      <c r="F52" s="42" t="n">
        <v>5.2</v>
      </c>
      <c r="G52" s="42" t="n">
        <v>5.3</v>
      </c>
      <c r="H52" s="42" t="n">
        <v>5.2</v>
      </c>
      <c r="I52" s="42" t="n">
        <v>5.6</v>
      </c>
      <c r="J52" s="42" t="n">
        <v>5.3</v>
      </c>
      <c r="K52" s="42" t="n">
        <v>4.3</v>
      </c>
      <c r="L52" s="42" t="n">
        <v>4.5</v>
      </c>
      <c r="M52" s="42" t="n">
        <v>4.1</v>
      </c>
      <c r="N52" s="42" t="n">
        <v>6</v>
      </c>
      <c r="O52" s="42" t="n">
        <v>6</v>
      </c>
      <c r="P52" s="42" t="n">
        <v>4.8</v>
      </c>
      <c r="Q52" s="42" t="n">
        <v>5</v>
      </c>
      <c r="R52" s="42" t="n">
        <v>4.7</v>
      </c>
      <c r="S52" s="37" t="n">
        <f aca="false">AVERAGE(G52:J52)</f>
        <v>5.35</v>
      </c>
      <c r="T52" s="37" t="n">
        <f aca="false">AVERAGE(K52:M52)</f>
        <v>4.3</v>
      </c>
      <c r="U52" s="37" t="n">
        <f aca="false">AVERAGE(N52:O52)</f>
        <v>6</v>
      </c>
      <c r="V52" s="23" t="str">
        <f aca="false">IF(S52&gt;='판정 기준'!$B$3,"H","L")&amp;IF(T52&gt;='판정 기준'!$B$3,"H","L")&amp;IF(U52&gt;='판정 기준'!$B$3,"H","L")</f>
        <v>HLH</v>
      </c>
      <c r="W52" s="36" t="str">
        <f aca="false">INDEX('포지션 정의'!$A$2:$A$9,MATCH(V52,'포지션 정의'!$D$2:$D$9,0))</f>
        <v>D</v>
      </c>
      <c r="X52" s="36" t="str">
        <f aca="false">INDEX('포지션 정의'!$B$2:$B$9,MATCH(V52,'포지션 정의'!$D$2:$D$9,0))</f>
        <v>실전 승부사형</v>
      </c>
      <c r="Y52" s="43" t="str">
        <f aca="false">IF(AJ52="","가장 높은 지표: "&amp;AP52,LEFT(AJ52,LEN(AJ52)-2))</f>
        <v>경기긴장도, 사회적 도움 활용, 실수 후 회복력, 자기 통제력</v>
      </c>
      <c r="Z52" s="43" t="str">
        <f aca="false">IF(MAX(AK52:AO52)=0,"심화: "&amp;IF(N52=MIN(G52,Q52,K52,N52,P52),"실수 후 회복력",IF(K52=MIN(G52,Q52,K52,N52,P52),"경기 준비 능력",IF(G52=MIN(G52,Q52,K52,N52,P52),"경기긴장도",IF(P52=MIN(G52,Q52,K52,N52,P52),"자기 통제력","사회적 도움 활용")))),IF(MAX(AK52:AO52)&gt;='판정 기준'!$B$8-'판정 기준'!$B$4,IF(AN52=MAX(AK52:AO52),"실수 후 회복력",IF(AM52=MAX(AK52:AO52),"경기 준비 능력",IF(AK52=MAX(AK52:AO52),"경기긴장도",IF(AO52=MAX(AK52:AO52),"자기 통제력","사회적 도움 활용")))),IF(AN52&gt;0,"실수 후 회복력",IF(AM52&gt;0,"경기 준비 능력",IF(AK52&gt;0,"경기긴장도",IF(AO52&gt;0,"자기 통제력","사회적 도움 활용"))))))</f>
        <v>경기 준비 능력</v>
      </c>
      <c r="AA52" s="43" t="str">
        <f aca="false">INDEX('포지션 정의'!$L$2:$L$9,MATCH(V52,'포지션 정의'!$D$2:$D$9,0))</f>
        <v>즐라탄 이브라히모비치 · 호나우지뉴 · 디에고 마라도나</v>
      </c>
      <c r="AB52" s="24" t="n">
        <f aca="false">ROUND(100*(1-SQRT(((S52-'포지션 정의'!$N$2)^2+(T52-'포지션 정의'!$O$2)^2+(U52-'포지션 정의'!$P$2)^2)/3)/'판정 기준'!$B$7),0)</f>
        <v>67</v>
      </c>
      <c r="AC52" s="24" t="n">
        <f aca="false">ROUND(100*(1-SQRT(((S52-'포지션 정의'!$N$3)^2+(T52-'포지션 정의'!$O$3)^2+(U52-'포지션 정의'!$P$3)^2)/3)/'판정 기준'!$B$7),0)</f>
        <v>72</v>
      </c>
      <c r="AD52" s="24" t="n">
        <f aca="false">ROUND(100*(1-SQRT(((S52-'포지션 정의'!$N$4)^2+(T52-'포지션 정의'!$O$4)^2+(U52-'포지션 정의'!$P$4)^2)/3)/'판정 기준'!$B$7),0)</f>
        <v>74</v>
      </c>
      <c r="AE52" s="24" t="n">
        <f aca="false">ROUND(100*(1-SQRT(((S52-'포지션 정의'!$N$5)^2+(T52-'포지션 정의'!$O$5)^2+(U52-'포지션 정의'!$P$5)^2)/3)/'판정 기준'!$B$7),0)</f>
        <v>89</v>
      </c>
      <c r="AF52" s="24" t="n">
        <f aca="false">ROUND(100*(1-SQRT(((S52-'포지션 정의'!$N$6)^2+(T52-'포지션 정의'!$O$6)^2+(U52-'포지션 정의'!$P$6)^2)/3)/'판정 기준'!$B$7),0)</f>
        <v>79</v>
      </c>
      <c r="AG52" s="24" t="n">
        <f aca="false">ROUND(100*(1-SQRT(((S52-'포지션 정의'!$N$7)^2+(T52-'포지션 정의'!$O$7)^2+(U52-'포지션 정의'!$P$7)^2)/3)/'판정 기준'!$B$7),0)</f>
        <v>77</v>
      </c>
      <c r="AH52" s="24" t="n">
        <f aca="false">ROUND(100*(1-SQRT(((S52-'포지션 정의'!$N$8)^2+(T52-'포지션 정의'!$O$8)^2+(U52-'포지션 정의'!$P$8)^2)/3)/'판정 기준'!$B$7),0)</f>
        <v>68</v>
      </c>
      <c r="AI52" s="24" t="n">
        <f aca="false">ROUND(100*(1-SQRT(((S52-'포지션 정의'!$N$9)^2+(T52-'포지션 정의'!$O$9)^2+(U52-'포지션 정의'!$P$9)^2)/3)/'판정 기준'!$B$7),0)</f>
        <v>86</v>
      </c>
      <c r="AJ52" s="23" t="str">
        <f aca="false">IF(G52&gt;='판정 기준'!$B$8,"경기긴장도, ","")&amp;IF(Q52&gt;='판정 기준'!$B$8,"사회적 도움 활용, ","")&amp;IF(K52&gt;='판정 기준'!$B$8,"경기 준비 능력, ","")&amp;IF(N52&gt;='판정 기준'!$B$8,"실수 후 회복력, ","")&amp;IF(P52&gt;='판정 기준'!$B$8,"자기 통제력, ","")</f>
        <v>경기긴장도, 사회적 도움 활용, 실수 후 회복력, 자기 통제력, </v>
      </c>
      <c r="AK52" s="23" t="n">
        <f aca="false">IF(AND(G52&lt;'판정 기준'!$B$8,OR(AJ52&lt;&gt;"",AP52&lt;&gt;"경기긴장도")),G52,0)</f>
        <v>0</v>
      </c>
      <c r="AL52" s="23" t="n">
        <f aca="false">IF(AND(Q52&lt;'판정 기준'!$B$8,OR(AJ52&lt;&gt;"",AP52&lt;&gt;"사회적 도움 활용")),Q52,0)</f>
        <v>0</v>
      </c>
      <c r="AM52" s="23" t="n">
        <f aca="false">IF(AND(K52&lt;'판정 기준'!$B$8,OR(AJ52&lt;&gt;"",AP52&lt;&gt;"경기 준비 능력")),K52,0)</f>
        <v>4.3</v>
      </c>
      <c r="AN52" s="23" t="n">
        <f aca="false">IF(AND(N52&lt;'판정 기준'!$B$8,OR(AJ52&lt;&gt;"",AP52&lt;&gt;"실수 후 회복력")),N52,0)</f>
        <v>0</v>
      </c>
      <c r="AO52" s="23" t="n">
        <f aca="false">IF(AND(P52&lt;'판정 기준'!$B$8,OR(AJ52&lt;&gt;"",AP52&lt;&gt;"자기 통제력")),P52,0)</f>
        <v>0</v>
      </c>
      <c r="AP52" s="23" t="str">
        <f aca="false">IF(Q52=MAX(G52,Q52,K52,N52,P52),"사회적 도움 활용",IF(P52=MAX(G52,Q52,K52,N52,P52),"자기 통제력",IF(G52=MAX(G52,Q52,K52,N52,P52),"경기긴장도",IF(K52=MAX(G52,Q52,K52,N52,P52),"경기 준비 능력","실수 후 회복력"))))</f>
        <v>실수 후 회복력</v>
      </c>
    </row>
    <row r="53" customFormat="false" ht="17.15" hidden="false" customHeight="false" outlineLevel="0" collapsed="false">
      <c r="A53" s="13" t="s">
        <v>264</v>
      </c>
      <c r="B53" s="13" t="s">
        <v>187</v>
      </c>
      <c r="C53" s="13" t="s">
        <v>252</v>
      </c>
      <c r="D53" s="14" t="n">
        <v>46182</v>
      </c>
      <c r="E53" s="41" t="s">
        <v>198</v>
      </c>
      <c r="F53" s="42" t="n">
        <v>5.3</v>
      </c>
      <c r="G53" s="42" t="n">
        <v>5.6</v>
      </c>
      <c r="H53" s="42" t="n">
        <v>5.5</v>
      </c>
      <c r="I53" s="42" t="n">
        <v>6</v>
      </c>
      <c r="J53" s="42" t="n">
        <v>5.3</v>
      </c>
      <c r="K53" s="42" t="n">
        <v>4.5</v>
      </c>
      <c r="L53" s="42" t="n">
        <v>4.7</v>
      </c>
      <c r="M53" s="42" t="n">
        <v>4.3</v>
      </c>
      <c r="N53" s="42" t="n">
        <v>6</v>
      </c>
      <c r="O53" s="42" t="n">
        <v>5.5</v>
      </c>
      <c r="P53" s="42" t="n">
        <v>4.7</v>
      </c>
      <c r="Q53" s="42" t="n">
        <v>6</v>
      </c>
      <c r="R53" s="42" t="n">
        <v>6</v>
      </c>
      <c r="S53" s="37" t="n">
        <f aca="false">AVERAGE(G53:J53)</f>
        <v>5.6</v>
      </c>
      <c r="T53" s="37" t="n">
        <f aca="false">AVERAGE(K53:M53)</f>
        <v>4.5</v>
      </c>
      <c r="U53" s="37" t="n">
        <f aca="false">AVERAGE(N53:O53)</f>
        <v>5.75</v>
      </c>
      <c r="V53" s="23" t="str">
        <f aca="false">IF(S53&gt;='판정 기준'!$B$3,"H","L")&amp;IF(T53&gt;='판정 기준'!$B$3,"H","L")&amp;IF(U53&gt;='판정 기준'!$B$3,"H","L")</f>
        <v>HHH</v>
      </c>
      <c r="W53" s="36" t="str">
        <f aca="false">INDEX('포지션 정의'!$A$2:$A$9,MATCH(V53,'포지션 정의'!$D$2:$D$9,0))</f>
        <v>H</v>
      </c>
      <c r="X53" s="36" t="str">
        <f aca="false">INDEX('포지션 정의'!$B$2:$B$9,MATCH(V53,'포지션 정의'!$D$2:$D$9,0))</f>
        <v>올라운드 밸런스형</v>
      </c>
      <c r="Y53" s="43" t="str">
        <f aca="false">IF(AJ53="","가장 높은 지표: "&amp;AP53,LEFT(AJ53,LEN(AJ53)-2))</f>
        <v>경기긴장도, 사회적 도움 활용, 실수 후 회복력</v>
      </c>
      <c r="Z53" s="43" t="str">
        <f aca="false">IF(MAX(AK53:AO53)=0,"심화: "&amp;IF(N53=MIN(G53,Q53,K53,N53,P53),"실수 후 회복력",IF(K53=MIN(G53,Q53,K53,N53,P53),"경기 준비 능력",IF(G53=MIN(G53,Q53,K53,N53,P53),"경기긴장도",IF(P53=MIN(G53,Q53,K53,N53,P53),"자기 통제력","사회적 도움 활용")))),IF(MAX(AK53:AO53)&gt;='판정 기준'!$B$8-'판정 기준'!$B$4,IF(AN53=MAX(AK53:AO53),"실수 후 회복력",IF(AM53=MAX(AK53:AO53),"경기 준비 능력",IF(AK53=MAX(AK53:AO53),"경기긴장도",IF(AO53=MAX(AK53:AO53),"자기 통제력","사회적 도움 활용")))),IF(AN53&gt;0,"실수 후 회복력",IF(AM53&gt;0,"경기 준비 능력",IF(AK53&gt;0,"경기긴장도",IF(AO53&gt;0,"자기 통제력","사회적 도움 활용"))))))</f>
        <v>자기 통제력</v>
      </c>
      <c r="AA53" s="43" t="str">
        <f aca="false">INDEX('포지션 정의'!$L$2:$L$9,MATCH(V53,'포지션 정의'!$D$2:$D$9,0))</f>
        <v>크리스티아누 호날두 · 루카 모드리치 · 버질 반 다이크</v>
      </c>
      <c r="AB53" s="24" t="n">
        <f aca="false">ROUND(100*(1-SQRT(((S53-'포지션 정의'!$N$2)^2+(T53-'포지션 정의'!$O$2)^2+(U53-'포지션 정의'!$P$2)^2)/3)/'판정 기준'!$B$7),0)</f>
        <v>68</v>
      </c>
      <c r="AC53" s="24" t="n">
        <f aca="false">ROUND(100*(1-SQRT(((S53-'포지션 정의'!$N$3)^2+(T53-'포지션 정의'!$O$3)^2+(U53-'포지션 정의'!$P$3)^2)/3)/'판정 기준'!$B$7),0)</f>
        <v>76</v>
      </c>
      <c r="AD53" s="24" t="n">
        <f aca="false">ROUND(100*(1-SQRT(((S53-'포지션 정의'!$N$4)^2+(T53-'포지션 정의'!$O$4)^2+(U53-'포지션 정의'!$P$4)^2)/3)/'판정 기준'!$B$7),0)</f>
        <v>76</v>
      </c>
      <c r="AE53" s="24" t="n">
        <f aca="false">ROUND(100*(1-SQRT(((S53-'포지션 정의'!$N$5)^2+(T53-'포지션 정의'!$O$5)^2+(U53-'포지션 정의'!$P$5)^2)/3)/'판정 기준'!$B$7),0)</f>
        <v>89</v>
      </c>
      <c r="AF53" s="24" t="n">
        <f aca="false">ROUND(100*(1-SQRT(((S53-'포지션 정의'!$N$6)^2+(T53-'포지션 정의'!$O$6)^2+(U53-'포지션 정의'!$P$6)^2)/3)/'판정 기준'!$B$7),0)</f>
        <v>77</v>
      </c>
      <c r="AG53" s="24" t="n">
        <f aca="false">ROUND(100*(1-SQRT(((S53-'포지션 정의'!$N$7)^2+(T53-'포지션 정의'!$O$7)^2+(U53-'포지션 정의'!$P$7)^2)/3)/'판정 기준'!$B$7),0)</f>
        <v>77</v>
      </c>
      <c r="AH53" s="24" t="n">
        <f aca="false">ROUND(100*(1-SQRT(((S53-'포지션 정의'!$N$8)^2+(T53-'포지션 정의'!$O$8)^2+(U53-'포지션 정의'!$P$8)^2)/3)/'판정 기준'!$B$7),0)</f>
        <v>68</v>
      </c>
      <c r="AI53" s="24" t="n">
        <f aca="false">ROUND(100*(1-SQRT(((S53-'포지션 정의'!$N$9)^2+(T53-'포지션 정의'!$O$9)^2+(U53-'포지션 정의'!$P$9)^2)/3)/'판정 기준'!$B$7),0)</f>
        <v>89</v>
      </c>
      <c r="AJ53" s="23" t="str">
        <f aca="false">IF(G53&gt;='판정 기준'!$B$8,"경기긴장도, ","")&amp;IF(Q53&gt;='판정 기준'!$B$8,"사회적 도움 활용, ","")&amp;IF(K53&gt;='판정 기준'!$B$8,"경기 준비 능력, ","")&amp;IF(N53&gt;='판정 기준'!$B$8,"실수 후 회복력, ","")&amp;IF(P53&gt;='판정 기준'!$B$8,"자기 통제력, ","")</f>
        <v>경기긴장도, 사회적 도움 활용, 실수 후 회복력, </v>
      </c>
      <c r="AK53" s="23" t="n">
        <f aca="false">IF(AND(G53&lt;'판정 기준'!$B$8,OR(AJ53&lt;&gt;"",AP53&lt;&gt;"경기긴장도")),G53,0)</f>
        <v>0</v>
      </c>
      <c r="AL53" s="23" t="n">
        <f aca="false">IF(AND(Q53&lt;'판정 기준'!$B$8,OR(AJ53&lt;&gt;"",AP53&lt;&gt;"사회적 도움 활용")),Q53,0)</f>
        <v>0</v>
      </c>
      <c r="AM53" s="23" t="n">
        <f aca="false">IF(AND(K53&lt;'판정 기준'!$B$8,OR(AJ53&lt;&gt;"",AP53&lt;&gt;"경기 준비 능력")),K53,0)</f>
        <v>4.5</v>
      </c>
      <c r="AN53" s="23" t="n">
        <f aca="false">IF(AND(N53&lt;'판정 기준'!$B$8,OR(AJ53&lt;&gt;"",AP53&lt;&gt;"실수 후 회복력")),N53,0)</f>
        <v>0</v>
      </c>
      <c r="AO53" s="23" t="n">
        <f aca="false">IF(AND(P53&lt;'판정 기준'!$B$8,OR(AJ53&lt;&gt;"",AP53&lt;&gt;"자기 통제력")),P53,0)</f>
        <v>4.7</v>
      </c>
      <c r="AP53" s="23" t="str">
        <f aca="false">IF(Q53=MAX(G53,Q53,K53,N53,P53),"사회적 도움 활용",IF(P53=MAX(G53,Q53,K53,N53,P53),"자기 통제력",IF(G53=MAX(G53,Q53,K53,N53,P53),"경기긴장도",IF(K53=MAX(G53,Q53,K53,N53,P53),"경기 준비 능력","실수 후 회복력"))))</f>
        <v>사회적 도움 활용</v>
      </c>
    </row>
    <row r="54" customFormat="false" ht="17.15" hidden="false" customHeight="false" outlineLevel="0" collapsed="false">
      <c r="A54" s="13" t="s">
        <v>265</v>
      </c>
      <c r="B54" s="13" t="s">
        <v>187</v>
      </c>
      <c r="C54" s="13" t="s">
        <v>252</v>
      </c>
      <c r="D54" s="14" t="n">
        <v>46182</v>
      </c>
      <c r="E54" s="41" t="s">
        <v>195</v>
      </c>
      <c r="F54" s="42" t="n">
        <v>4.3</v>
      </c>
      <c r="G54" s="42" t="n">
        <v>4.9</v>
      </c>
      <c r="H54" s="42" t="n">
        <v>5.2</v>
      </c>
      <c r="I54" s="42" t="n">
        <v>5.2</v>
      </c>
      <c r="J54" s="42" t="n">
        <v>4.8</v>
      </c>
      <c r="K54" s="42" t="n">
        <v>3.1</v>
      </c>
      <c r="L54" s="42" t="n">
        <v>3.8</v>
      </c>
      <c r="M54" s="42" t="n">
        <v>2.4</v>
      </c>
      <c r="N54" s="42" t="n">
        <v>4.9</v>
      </c>
      <c r="O54" s="42" t="n">
        <v>5.2</v>
      </c>
      <c r="P54" s="42" t="n">
        <v>4.2</v>
      </c>
      <c r="Q54" s="42" t="n">
        <v>5.6</v>
      </c>
      <c r="R54" s="42" t="n">
        <v>6</v>
      </c>
      <c r="S54" s="37" t="n">
        <f aca="false">AVERAGE(G54:J54)</f>
        <v>5.025</v>
      </c>
      <c r="T54" s="37" t="n">
        <f aca="false">AVERAGE(K54:M54)</f>
        <v>3.1</v>
      </c>
      <c r="U54" s="37" t="n">
        <f aca="false">AVERAGE(N54:O54)</f>
        <v>5.05</v>
      </c>
      <c r="V54" s="23" t="str">
        <f aca="false">IF(S54&gt;='판정 기준'!$B$3,"H","L")&amp;IF(T54&gt;='판정 기준'!$B$3,"H","L")&amp;IF(U54&gt;='판정 기준'!$B$3,"H","L")</f>
        <v>HLH</v>
      </c>
      <c r="W54" s="36" t="str">
        <f aca="false">INDEX('포지션 정의'!$A$2:$A$9,MATCH(V54,'포지션 정의'!$D$2:$D$9,0))</f>
        <v>D</v>
      </c>
      <c r="X54" s="36" t="str">
        <f aca="false">INDEX('포지션 정의'!$B$2:$B$9,MATCH(V54,'포지션 정의'!$D$2:$D$9,0))</f>
        <v>실전 승부사형</v>
      </c>
      <c r="Y54" s="43" t="str">
        <f aca="false">IF(AJ54="","가장 높은 지표: "&amp;AP54,LEFT(AJ54,LEN(AJ54)-2))</f>
        <v>경기긴장도, 사회적 도움 활용, 실수 후 회복력</v>
      </c>
      <c r="Z54" s="43" t="str">
        <f aca="false">IF(MAX(AK54:AO54)=0,"심화: "&amp;IF(N54=MIN(G54,Q54,K54,N54,P54),"실수 후 회복력",IF(K54=MIN(G54,Q54,K54,N54,P54),"경기 준비 능력",IF(G54=MIN(G54,Q54,K54,N54,P54),"경기긴장도",IF(P54=MIN(G54,Q54,K54,N54,P54),"자기 통제력","사회적 도움 활용")))),IF(MAX(AK54:AO54)&gt;='판정 기준'!$B$8-'판정 기준'!$B$4,IF(AN54=MAX(AK54:AO54),"실수 후 회복력",IF(AM54=MAX(AK54:AO54),"경기 준비 능력",IF(AK54=MAX(AK54:AO54),"경기긴장도",IF(AO54=MAX(AK54:AO54),"자기 통제력","사회적 도움 활용")))),IF(AN54&gt;0,"실수 후 회복력",IF(AM54&gt;0,"경기 준비 능력",IF(AK54&gt;0,"경기긴장도",IF(AO54&gt;0,"자기 통제력","사회적 도움 활용"))))))</f>
        <v>경기 준비 능력</v>
      </c>
      <c r="AA54" s="43" t="str">
        <f aca="false">INDEX('포지션 정의'!$L$2:$L$9,MATCH(V54,'포지션 정의'!$D$2:$D$9,0))</f>
        <v>즐라탄 이브라히모비치 · 호나우지뉴 · 디에고 마라도나</v>
      </c>
      <c r="AB54" s="24" t="n">
        <f aca="false">ROUND(100*(1-SQRT(((S54-'포지션 정의'!$N$2)^2+(T54-'포지션 정의'!$O$2)^2+(U54-'포지션 정의'!$P$2)^2)/3)/'판정 기준'!$B$7),0)</f>
        <v>68</v>
      </c>
      <c r="AC54" s="24" t="n">
        <f aca="false">ROUND(100*(1-SQRT(((S54-'포지션 정의'!$N$3)^2+(T54-'포지션 정의'!$O$3)^2+(U54-'포지션 정의'!$P$3)^2)/3)/'판정 기준'!$B$7),0)</f>
        <v>72</v>
      </c>
      <c r="AD54" s="24" t="n">
        <f aca="false">ROUND(100*(1-SQRT(((S54-'포지션 정의'!$N$4)^2+(T54-'포지션 정의'!$O$4)^2+(U54-'포지션 정의'!$P$4)^2)/3)/'판정 기준'!$B$7),0)</f>
        <v>83</v>
      </c>
      <c r="AE54" s="24" t="n">
        <f aca="false">ROUND(100*(1-SQRT(((S54-'포지션 정의'!$N$5)^2+(T54-'포지션 정의'!$O$5)^2+(U54-'포지션 정의'!$P$5)^2)/3)/'판정 기준'!$B$7),0)</f>
        <v>91</v>
      </c>
      <c r="AF54" s="24" t="n">
        <f aca="false">ROUND(100*(1-SQRT(((S54-'포지션 정의'!$N$6)^2+(T54-'포지션 정의'!$O$6)^2+(U54-'포지션 정의'!$P$6)^2)/3)/'판정 기준'!$B$7),0)</f>
        <v>84</v>
      </c>
      <c r="AG54" s="24" t="n">
        <f aca="false">ROUND(100*(1-SQRT(((S54-'포지션 정의'!$N$7)^2+(T54-'포지션 정의'!$O$7)^2+(U54-'포지션 정의'!$P$7)^2)/3)/'판정 기준'!$B$7),0)</f>
        <v>72</v>
      </c>
      <c r="AH54" s="24" t="n">
        <f aca="false">ROUND(100*(1-SQRT(((S54-'포지션 정의'!$N$8)^2+(T54-'포지션 정의'!$O$8)^2+(U54-'포지션 정의'!$P$8)^2)/3)/'판정 기준'!$B$7),0)</f>
        <v>78</v>
      </c>
      <c r="AI54" s="24" t="n">
        <f aca="false">ROUND(100*(1-SQRT(((S54-'포지션 정의'!$N$9)^2+(T54-'포지션 정의'!$O$9)^2+(U54-'포지션 정의'!$P$9)^2)/3)/'판정 기준'!$B$7),0)</f>
        <v>76</v>
      </c>
      <c r="AJ54" s="23" t="str">
        <f aca="false">IF(G54&gt;='판정 기준'!$B$8,"경기긴장도, ","")&amp;IF(Q54&gt;='판정 기준'!$B$8,"사회적 도움 활용, ","")&amp;IF(K54&gt;='판정 기준'!$B$8,"경기 준비 능력, ","")&amp;IF(N54&gt;='판정 기준'!$B$8,"실수 후 회복력, ","")&amp;IF(P54&gt;='판정 기준'!$B$8,"자기 통제력, ","")</f>
        <v>경기긴장도, 사회적 도움 활용, 실수 후 회복력, </v>
      </c>
      <c r="AK54" s="23" t="n">
        <f aca="false">IF(AND(G54&lt;'판정 기준'!$B$8,OR(AJ54&lt;&gt;"",AP54&lt;&gt;"경기긴장도")),G54,0)</f>
        <v>0</v>
      </c>
      <c r="AL54" s="23" t="n">
        <f aca="false">IF(AND(Q54&lt;'판정 기준'!$B$8,OR(AJ54&lt;&gt;"",AP54&lt;&gt;"사회적 도움 활용")),Q54,0)</f>
        <v>0</v>
      </c>
      <c r="AM54" s="23" t="n">
        <f aca="false">IF(AND(K54&lt;'판정 기준'!$B$8,OR(AJ54&lt;&gt;"",AP54&lt;&gt;"경기 준비 능력")),K54,0)</f>
        <v>3.1</v>
      </c>
      <c r="AN54" s="23" t="n">
        <f aca="false">IF(AND(N54&lt;'판정 기준'!$B$8,OR(AJ54&lt;&gt;"",AP54&lt;&gt;"실수 후 회복력")),N54,0)</f>
        <v>0</v>
      </c>
      <c r="AO54" s="23" t="n">
        <f aca="false">IF(AND(P54&lt;'판정 기준'!$B$8,OR(AJ54&lt;&gt;"",AP54&lt;&gt;"자기 통제력")),P54,0)</f>
        <v>4.2</v>
      </c>
      <c r="AP54" s="23" t="str">
        <f aca="false">IF(Q54=MAX(G54,Q54,K54,N54,P54),"사회적 도움 활용",IF(P54=MAX(G54,Q54,K54,N54,P54),"자기 통제력",IF(G54=MAX(G54,Q54,K54,N54,P54),"경기긴장도",IF(K54=MAX(G54,Q54,K54,N54,P54),"경기 준비 능력","실수 후 회복력"))))</f>
        <v>사회적 도움 활용</v>
      </c>
    </row>
    <row r="55" customFormat="false" ht="17.15" hidden="false" customHeight="false" outlineLevel="0" collapsed="false">
      <c r="A55" s="13" t="s">
        <v>266</v>
      </c>
      <c r="B55" s="13" t="s">
        <v>187</v>
      </c>
      <c r="C55" s="13" t="s">
        <v>252</v>
      </c>
      <c r="D55" s="14" t="n">
        <v>46182</v>
      </c>
      <c r="E55" s="41" t="s">
        <v>198</v>
      </c>
      <c r="F55" s="42" t="n">
        <v>4.2</v>
      </c>
      <c r="G55" s="42" t="n">
        <v>4.3</v>
      </c>
      <c r="H55" s="42" t="n">
        <v>3.3</v>
      </c>
      <c r="I55" s="42" t="n">
        <v>4</v>
      </c>
      <c r="J55" s="42" t="n">
        <v>4.2</v>
      </c>
      <c r="K55" s="42" t="n">
        <v>3.5</v>
      </c>
      <c r="L55" s="42" t="n">
        <v>4</v>
      </c>
      <c r="M55" s="42" t="n">
        <v>3.1</v>
      </c>
      <c r="N55" s="42" t="n">
        <v>4.7</v>
      </c>
      <c r="O55" s="42" t="n">
        <v>4.2</v>
      </c>
      <c r="P55" s="42" t="n">
        <v>4</v>
      </c>
      <c r="Q55" s="42" t="n">
        <v>5.4</v>
      </c>
      <c r="R55" s="42" t="n">
        <v>5</v>
      </c>
      <c r="S55" s="37" t="n">
        <f aca="false">AVERAGE(G55:J55)</f>
        <v>3.95</v>
      </c>
      <c r="T55" s="37" t="n">
        <f aca="false">AVERAGE(K55:M55)</f>
        <v>3.53333333333333</v>
      </c>
      <c r="U55" s="37" t="n">
        <f aca="false">AVERAGE(N55:O55)</f>
        <v>4.45</v>
      </c>
      <c r="V55" s="23" t="str">
        <f aca="false">IF(S55&gt;='판정 기준'!$B$3,"H","L")&amp;IF(T55&gt;='판정 기준'!$B$3,"H","L")&amp;IF(U55&gt;='판정 기준'!$B$3,"H","L")</f>
        <v>LLL</v>
      </c>
      <c r="W55" s="36" t="str">
        <f aca="false">INDEX('포지션 정의'!$A$2:$A$9,MATCH(V55,'포지션 정의'!$D$2:$D$9,0))</f>
        <v>G</v>
      </c>
      <c r="X55" s="36" t="str">
        <f aca="false">INDEX('포지션 정의'!$B$2:$B$9,MATCH(V55,'포지션 정의'!$D$2:$D$9,0))</f>
        <v>스펀지 흡수형</v>
      </c>
      <c r="Y55" s="43" t="str">
        <f aca="false">IF(AJ55="","가장 높은 지표: "&amp;AP55,LEFT(AJ55,LEN(AJ55)-2))</f>
        <v>사회적 도움 활용</v>
      </c>
      <c r="Z55" s="43" t="str">
        <f aca="false">IF(MAX(AK55:AO55)=0,"심화: "&amp;IF(N55=MIN(G55,Q55,K55,N55,P55),"실수 후 회복력",IF(K55=MIN(G55,Q55,K55,N55,P55),"경기 준비 능력",IF(G55=MIN(G55,Q55,K55,N55,P55),"경기긴장도",IF(P55=MIN(G55,Q55,K55,N55,P55),"자기 통제력","사회적 도움 활용")))),IF(MAX(AK55:AO55)&gt;='판정 기준'!$B$8-'판정 기준'!$B$4,IF(AN55=MAX(AK55:AO55),"실수 후 회복력",IF(AM55=MAX(AK55:AO55),"경기 준비 능력",IF(AK55=MAX(AK55:AO55),"경기긴장도",IF(AO55=MAX(AK55:AO55),"자기 통제력","사회적 도움 활용")))),IF(AN55&gt;0,"실수 후 회복력",IF(AM55&gt;0,"경기 준비 능력",IF(AK55&gt;0,"경기긴장도",IF(AO55&gt;0,"자기 통제력","사회적 도움 활용"))))))</f>
        <v>실수 후 회복력</v>
      </c>
      <c r="AA55" s="43" t="str">
        <f aca="false">INDEX('포지션 정의'!$L$2:$L$9,MATCH(V55,'포지션 정의'!$D$2:$D$9,0))</f>
        <v>디디에 드로그바 · 앙투안 그리즈만 · 모하메드 살라</v>
      </c>
      <c r="AB55" s="24" t="n">
        <f aca="false">ROUND(100*(1-SQRT(((S55-'포지션 정의'!$N$2)^2+(T55-'포지션 정의'!$O$2)^2+(U55-'포지션 정의'!$P$2)^2)/3)/'판정 기준'!$B$7),0)</f>
        <v>79</v>
      </c>
      <c r="AC55" s="24" t="n">
        <f aca="false">ROUND(100*(1-SQRT(((S55-'포지션 정의'!$N$3)^2+(T55-'포지션 정의'!$O$3)^2+(U55-'포지션 정의'!$P$3)^2)/3)/'판정 기준'!$B$7),0)</f>
        <v>75</v>
      </c>
      <c r="AD55" s="24" t="n">
        <f aca="false">ROUND(100*(1-SQRT(((S55-'포지션 정의'!$N$4)^2+(T55-'포지션 정의'!$O$4)^2+(U55-'포지션 정의'!$P$4)^2)/3)/'판정 기준'!$B$7),0)</f>
        <v>83</v>
      </c>
      <c r="AE55" s="24" t="n">
        <f aca="false">ROUND(100*(1-SQRT(((S55-'포지션 정의'!$N$5)^2+(T55-'포지션 정의'!$O$5)^2+(U55-'포지션 정의'!$P$5)^2)/3)/'판정 기준'!$B$7),0)</f>
        <v>83</v>
      </c>
      <c r="AF55" s="24" t="n">
        <f aca="false">ROUND(100*(1-SQRT(((S55-'포지션 정의'!$N$6)^2+(T55-'포지션 정의'!$O$6)^2+(U55-'포지션 정의'!$P$6)^2)/3)/'판정 기준'!$B$7),0)</f>
        <v>91</v>
      </c>
      <c r="AG55" s="24" t="n">
        <f aca="false">ROUND(100*(1-SQRT(((S55-'포지션 정의'!$N$7)^2+(T55-'포지션 정의'!$O$7)^2+(U55-'포지션 정의'!$P$7)^2)/3)/'판정 기준'!$B$7),0)</f>
        <v>79</v>
      </c>
      <c r="AH55" s="24" t="n">
        <f aca="false">ROUND(100*(1-SQRT(((S55-'포지션 정의'!$N$8)^2+(T55-'포지션 정의'!$O$8)^2+(U55-'포지션 정의'!$P$8)^2)/3)/'판정 기준'!$B$7),0)</f>
        <v>92</v>
      </c>
      <c r="AI55" s="24" t="n">
        <f aca="false">ROUND(100*(1-SQRT(((S55-'포지션 정의'!$N$9)^2+(T55-'포지션 정의'!$O$9)^2+(U55-'포지션 정의'!$P$9)^2)/3)/'판정 기준'!$B$7),0)</f>
        <v>74</v>
      </c>
      <c r="AJ55" s="23" t="str">
        <f aca="false">IF(G55&gt;='판정 기준'!$B$8,"경기긴장도, ","")&amp;IF(Q55&gt;='판정 기준'!$B$8,"사회적 도움 활용, ","")&amp;IF(K55&gt;='판정 기준'!$B$8,"경기 준비 능력, ","")&amp;IF(N55&gt;='판정 기준'!$B$8,"실수 후 회복력, ","")&amp;IF(P55&gt;='판정 기준'!$B$8,"자기 통제력, ","")</f>
        <v>사회적 도움 활용, </v>
      </c>
      <c r="AK55" s="23" t="n">
        <f aca="false">IF(AND(G55&lt;'판정 기준'!$B$8,OR(AJ55&lt;&gt;"",AP55&lt;&gt;"경기긴장도")),G55,0)</f>
        <v>4.3</v>
      </c>
      <c r="AL55" s="23" t="n">
        <f aca="false">IF(AND(Q55&lt;'판정 기준'!$B$8,OR(AJ55&lt;&gt;"",AP55&lt;&gt;"사회적 도움 활용")),Q55,0)</f>
        <v>0</v>
      </c>
      <c r="AM55" s="23" t="n">
        <f aca="false">IF(AND(K55&lt;'판정 기준'!$B$8,OR(AJ55&lt;&gt;"",AP55&lt;&gt;"경기 준비 능력")),K55,0)</f>
        <v>3.5</v>
      </c>
      <c r="AN55" s="23" t="n">
        <f aca="false">IF(AND(N55&lt;'판정 기준'!$B$8,OR(AJ55&lt;&gt;"",AP55&lt;&gt;"실수 후 회복력")),N55,0)</f>
        <v>4.7</v>
      </c>
      <c r="AO55" s="23" t="n">
        <f aca="false">IF(AND(P55&lt;'판정 기준'!$B$8,OR(AJ55&lt;&gt;"",AP55&lt;&gt;"자기 통제력")),P55,0)</f>
        <v>4</v>
      </c>
      <c r="AP55" s="23" t="str">
        <f aca="false">IF(Q55=MAX(G55,Q55,K55,N55,P55),"사회적 도움 활용",IF(P55=MAX(G55,Q55,K55,N55,P55),"자기 통제력",IF(G55=MAX(G55,Q55,K55,N55,P55),"경기긴장도",IF(K55=MAX(G55,Q55,K55,N55,P55),"경기 준비 능력","실수 후 회복력"))))</f>
        <v>사회적 도움 활용</v>
      </c>
    </row>
    <row r="56" customFormat="false" ht="17.15" hidden="false" customHeight="false" outlineLevel="0" collapsed="false">
      <c r="A56" s="13" t="s">
        <v>267</v>
      </c>
      <c r="B56" s="13" t="s">
        <v>187</v>
      </c>
      <c r="C56" s="13" t="s">
        <v>252</v>
      </c>
      <c r="D56" s="14" t="n">
        <v>46182</v>
      </c>
      <c r="E56" s="41" t="s">
        <v>193</v>
      </c>
      <c r="F56" s="42" t="n">
        <v>3.3</v>
      </c>
      <c r="G56" s="42" t="n">
        <v>2.9</v>
      </c>
      <c r="H56" s="42" t="n">
        <v>3</v>
      </c>
      <c r="I56" s="42" t="n">
        <v>3.4</v>
      </c>
      <c r="J56" s="42" t="n">
        <v>2.7</v>
      </c>
      <c r="K56" s="42" t="n">
        <v>5.1</v>
      </c>
      <c r="L56" s="42" t="n">
        <v>4.5</v>
      </c>
      <c r="M56" s="42" t="n">
        <v>5.6</v>
      </c>
      <c r="N56" s="42" t="n">
        <v>2.3</v>
      </c>
      <c r="O56" s="42" t="n">
        <v>2.2</v>
      </c>
      <c r="P56" s="42" t="n">
        <v>3</v>
      </c>
      <c r="Q56" s="42" t="n">
        <v>3</v>
      </c>
      <c r="R56" s="42" t="n">
        <v>4.3</v>
      </c>
      <c r="S56" s="37" t="n">
        <f aca="false">AVERAGE(G56:J56)</f>
        <v>3</v>
      </c>
      <c r="T56" s="37" t="n">
        <f aca="false">AVERAGE(K56:M56)</f>
        <v>5.06666666666667</v>
      </c>
      <c r="U56" s="37" t="n">
        <f aca="false">AVERAGE(N56:O56)</f>
        <v>2.25</v>
      </c>
      <c r="V56" s="23" t="str">
        <f aca="false">IF(S56&gt;='판정 기준'!$B$3,"H","L")&amp;IF(T56&gt;='판정 기준'!$B$3,"H","L")&amp;IF(U56&gt;='판정 기준'!$B$3,"H","L")</f>
        <v>LHL</v>
      </c>
      <c r="W56" s="36" t="str">
        <f aca="false">INDEX('포지션 정의'!$A$2:$A$9,MATCH(V56,'포지션 정의'!$D$2:$D$9,0))</f>
        <v>A</v>
      </c>
      <c r="X56" s="36" t="str">
        <f aca="false">INDEX('포지션 정의'!$B$2:$B$9,MATCH(V56,'포지션 정의'!$D$2:$D$9,0))</f>
        <v>섬세한 준비형</v>
      </c>
      <c r="Y56" s="43" t="str">
        <f aca="false">IF(AJ56="","가장 높은 지표: "&amp;AP56,LEFT(AJ56,LEN(AJ56)-2))</f>
        <v>경기 준비 능력</v>
      </c>
      <c r="Z56" s="43" t="str">
        <f aca="false">IF(MAX(AK56:AO56)=0,"심화: "&amp;IF(N56=MIN(G56,Q56,K56,N56,P56),"실수 후 회복력",IF(K56=MIN(G56,Q56,K56,N56,P56),"경기 준비 능력",IF(G56=MIN(G56,Q56,K56,N56,P56),"경기긴장도",IF(P56=MIN(G56,Q56,K56,N56,P56),"자기 통제력","사회적 도움 활용")))),IF(MAX(AK56:AO56)&gt;='판정 기준'!$B$8-'판정 기준'!$B$4,IF(AN56=MAX(AK56:AO56),"실수 후 회복력",IF(AM56=MAX(AK56:AO56),"경기 준비 능력",IF(AK56=MAX(AK56:AO56),"경기긴장도",IF(AO56=MAX(AK56:AO56),"자기 통제력","사회적 도움 활용")))),IF(AN56&gt;0,"실수 후 회복력",IF(AM56&gt;0,"경기 준비 능력",IF(AK56&gt;0,"경기긴장도",IF(AO56&gt;0,"자기 통제력","사회적 도움 활용"))))))</f>
        <v>실수 후 회복력</v>
      </c>
      <c r="AA56" s="43" t="str">
        <f aca="false">INDEX('포지션 정의'!$L$2:$L$9,MATCH(V56,'포지션 정의'!$D$2:$D$9,0))</f>
        <v>로베르트 레반도프스키 · 제임스 밀너 · 마르틴 외데고르</v>
      </c>
      <c r="AB56" s="24" t="n">
        <f aca="false">ROUND(100*(1-SQRT(((S56-'포지션 정의'!$N$2)^2+(T56-'포지션 정의'!$O$2)^2+(U56-'포지션 정의'!$P$2)^2)/3)/'판정 기준'!$B$7),0)</f>
        <v>80</v>
      </c>
      <c r="AC56" s="24" t="n">
        <f aca="false">ROUND(100*(1-SQRT(((S56-'포지션 정의'!$N$3)^2+(T56-'포지션 정의'!$O$3)^2+(U56-'포지션 정의'!$P$3)^2)/3)/'판정 기준'!$B$7),0)</f>
        <v>69</v>
      </c>
      <c r="AD56" s="24" t="n">
        <f aca="false">ROUND(100*(1-SQRT(((S56-'포지션 정의'!$N$4)^2+(T56-'포지션 정의'!$O$4)^2+(U56-'포지션 정의'!$P$4)^2)/3)/'판정 기준'!$B$7),0)</f>
        <v>66</v>
      </c>
      <c r="AE56" s="24" t="n">
        <f aca="false">ROUND(100*(1-SQRT(((S56-'포지션 정의'!$N$5)^2+(T56-'포지션 정의'!$O$5)^2+(U56-'포지션 정의'!$P$5)^2)/3)/'판정 기준'!$B$7),0)</f>
        <v>55</v>
      </c>
      <c r="AF56" s="24" t="n">
        <f aca="false">ROUND(100*(1-SQRT(((S56-'포지션 정의'!$N$6)^2+(T56-'포지션 정의'!$O$6)^2+(U56-'포지션 정의'!$P$6)^2)/3)/'판정 기준'!$B$7),0)</f>
        <v>62</v>
      </c>
      <c r="AG56" s="24" t="n">
        <f aca="false">ROUND(100*(1-SQRT(((S56-'포지션 정의'!$N$7)^2+(T56-'포지션 정의'!$O$7)^2+(U56-'포지션 정의'!$P$7)^2)/3)/'판정 기준'!$B$7),0)</f>
        <v>65</v>
      </c>
      <c r="AH56" s="24" t="n">
        <f aca="false">ROUND(100*(1-SQRT(((S56-'포지션 정의'!$N$8)^2+(T56-'포지션 정의'!$O$8)^2+(U56-'포지션 정의'!$P$8)^2)/3)/'판정 기준'!$B$7),0)</f>
        <v>75</v>
      </c>
      <c r="AI56" s="24" t="n">
        <f aca="false">ROUND(100*(1-SQRT(((S56-'포지션 정의'!$N$9)^2+(T56-'포지션 정의'!$O$9)^2+(U56-'포지션 정의'!$P$9)^2)/3)/'판정 기준'!$B$7),0)</f>
        <v>57</v>
      </c>
      <c r="AJ56" s="23" t="str">
        <f aca="false">IF(G56&gt;='판정 기준'!$B$8,"경기긴장도, ","")&amp;IF(Q56&gt;='판정 기준'!$B$8,"사회적 도움 활용, ","")&amp;IF(K56&gt;='판정 기준'!$B$8,"경기 준비 능력, ","")&amp;IF(N56&gt;='판정 기준'!$B$8,"실수 후 회복력, ","")&amp;IF(P56&gt;='판정 기준'!$B$8,"자기 통제력, ","")</f>
        <v>경기 준비 능력, </v>
      </c>
      <c r="AK56" s="23" t="n">
        <f aca="false">IF(AND(G56&lt;'판정 기준'!$B$8,OR(AJ56&lt;&gt;"",AP56&lt;&gt;"경기긴장도")),G56,0)</f>
        <v>2.9</v>
      </c>
      <c r="AL56" s="23" t="n">
        <f aca="false">IF(AND(Q56&lt;'판정 기준'!$B$8,OR(AJ56&lt;&gt;"",AP56&lt;&gt;"사회적 도움 활용")),Q56,0)</f>
        <v>3</v>
      </c>
      <c r="AM56" s="23" t="n">
        <f aca="false">IF(AND(K56&lt;'판정 기준'!$B$8,OR(AJ56&lt;&gt;"",AP56&lt;&gt;"경기 준비 능력")),K56,0)</f>
        <v>0</v>
      </c>
      <c r="AN56" s="23" t="n">
        <f aca="false">IF(AND(N56&lt;'판정 기준'!$B$8,OR(AJ56&lt;&gt;"",AP56&lt;&gt;"실수 후 회복력")),N56,0)</f>
        <v>2.3</v>
      </c>
      <c r="AO56" s="23" t="n">
        <f aca="false">IF(AND(P56&lt;'판정 기준'!$B$8,OR(AJ56&lt;&gt;"",AP56&lt;&gt;"자기 통제력")),P56,0)</f>
        <v>3</v>
      </c>
      <c r="AP56" s="23" t="str">
        <f aca="false">IF(Q56=MAX(G56,Q56,K56,N56,P56),"사회적 도움 활용",IF(P56=MAX(G56,Q56,K56,N56,P56),"자기 통제력",IF(G56=MAX(G56,Q56,K56,N56,P56),"경기긴장도",IF(K56=MAX(G56,Q56,K56,N56,P56),"경기 준비 능력","실수 후 회복력"))))</f>
        <v>경기 준비 능력</v>
      </c>
    </row>
    <row r="57" customFormat="false" ht="17.15" hidden="false" customHeight="false" outlineLevel="0" collapsed="false">
      <c r="A57" s="13" t="s">
        <v>268</v>
      </c>
      <c r="B57" s="13" t="s">
        <v>187</v>
      </c>
      <c r="C57" s="13" t="s">
        <v>252</v>
      </c>
      <c r="D57" s="14" t="n">
        <v>46182</v>
      </c>
      <c r="E57" s="41" t="s">
        <v>198</v>
      </c>
      <c r="F57" s="42" t="n">
        <v>3.8</v>
      </c>
      <c r="G57" s="42" t="n">
        <v>3</v>
      </c>
      <c r="H57" s="42" t="n">
        <v>3.3</v>
      </c>
      <c r="I57" s="42" t="n">
        <v>3.2</v>
      </c>
      <c r="J57" s="42" t="n">
        <v>3.2</v>
      </c>
      <c r="K57" s="42" t="n">
        <v>3.7</v>
      </c>
      <c r="L57" s="42" t="n">
        <v>3.5</v>
      </c>
      <c r="M57" s="42" t="n">
        <v>3.9</v>
      </c>
      <c r="N57" s="42" t="n">
        <v>4.4</v>
      </c>
      <c r="O57" s="42" t="n">
        <v>3.7</v>
      </c>
      <c r="P57" s="42" t="n">
        <v>3.8</v>
      </c>
      <c r="Q57" s="42" t="n">
        <v>4.4</v>
      </c>
      <c r="R57" s="42" t="n">
        <v>4</v>
      </c>
      <c r="S57" s="37" t="n">
        <f aca="false">AVERAGE(G57:J57)</f>
        <v>3.175</v>
      </c>
      <c r="T57" s="37" t="n">
        <f aca="false">AVERAGE(K57:M57)</f>
        <v>3.7</v>
      </c>
      <c r="U57" s="37" t="n">
        <f aca="false">AVERAGE(N57:O57)</f>
        <v>4.05</v>
      </c>
      <c r="V57" s="23" t="str">
        <f aca="false">IF(S57&gt;='판정 기준'!$B$3,"H","L")&amp;IF(T57&gt;='판정 기준'!$B$3,"H","L")&amp;IF(U57&gt;='판정 기준'!$B$3,"H","L")</f>
        <v>LLL</v>
      </c>
      <c r="W57" s="36" t="str">
        <f aca="false">INDEX('포지션 정의'!$A$2:$A$9,MATCH(V57,'포지션 정의'!$D$2:$D$9,0))</f>
        <v>G</v>
      </c>
      <c r="X57" s="36" t="str">
        <f aca="false">INDEX('포지션 정의'!$B$2:$B$9,MATCH(V57,'포지션 정의'!$D$2:$D$9,0))</f>
        <v>스펀지 흡수형</v>
      </c>
      <c r="Y57" s="43" t="str">
        <f aca="false">IF(AJ57="","가장 높은 지표: "&amp;AP57,LEFT(AJ57,LEN(AJ57)-2))</f>
        <v>가장 높은 지표: 사회적 도움 활용</v>
      </c>
      <c r="Z57" s="43" t="str">
        <f aca="false">IF(MAX(AK57:AO57)=0,"심화: "&amp;IF(N57=MIN(G57,Q57,K57,N57,P57),"실수 후 회복력",IF(K57=MIN(G57,Q57,K57,N57,P57),"경기 준비 능력",IF(G57=MIN(G57,Q57,K57,N57,P57),"경기긴장도",IF(P57=MIN(G57,Q57,K57,N57,P57),"자기 통제력","사회적 도움 활용")))),IF(MAX(AK57:AO57)&gt;='판정 기준'!$B$8-'판정 기준'!$B$4,IF(AN57=MAX(AK57:AO57),"실수 후 회복력",IF(AM57=MAX(AK57:AO57),"경기 준비 능력",IF(AK57=MAX(AK57:AO57),"경기긴장도",IF(AO57=MAX(AK57:AO57),"자기 통제력","사회적 도움 활용")))),IF(AN57&gt;0,"실수 후 회복력",IF(AM57&gt;0,"경기 준비 능력",IF(AK57&gt;0,"경기긴장도",IF(AO57&gt;0,"자기 통제력","사회적 도움 활용"))))))</f>
        <v>실수 후 회복력</v>
      </c>
      <c r="AA57" s="43" t="str">
        <f aca="false">INDEX('포지션 정의'!$L$2:$L$9,MATCH(V57,'포지션 정의'!$D$2:$D$9,0))</f>
        <v>디디에 드로그바 · 앙투안 그리즈만 · 모하메드 살라</v>
      </c>
      <c r="AB57" s="24" t="n">
        <f aca="false">ROUND(100*(1-SQRT(((S57-'포지션 정의'!$N$2)^2+(T57-'포지션 정의'!$O$2)^2+(U57-'포지션 정의'!$P$2)^2)/3)/'판정 기준'!$B$7),0)</f>
        <v>81</v>
      </c>
      <c r="AC57" s="24" t="n">
        <f aca="false">ROUND(100*(1-SQRT(((S57-'포지션 정의'!$N$3)^2+(T57-'포지션 정의'!$O$3)^2+(U57-'포지션 정의'!$P$3)^2)/3)/'판정 기준'!$B$7),0)</f>
        <v>71</v>
      </c>
      <c r="AD57" s="24" t="n">
        <f aca="false">ROUND(100*(1-SQRT(((S57-'포지션 정의'!$N$4)^2+(T57-'포지션 정의'!$O$4)^2+(U57-'포지션 정의'!$P$4)^2)/3)/'판정 기준'!$B$7),0)</f>
        <v>76</v>
      </c>
      <c r="AE57" s="24" t="n">
        <f aca="false">ROUND(100*(1-SQRT(((S57-'포지션 정의'!$N$5)^2+(T57-'포지션 정의'!$O$5)^2+(U57-'포지션 정의'!$P$5)^2)/3)/'판정 기준'!$B$7),0)</f>
        <v>73</v>
      </c>
      <c r="AF57" s="24" t="n">
        <f aca="false">ROUND(100*(1-SQRT(((S57-'포지션 정의'!$N$6)^2+(T57-'포지션 정의'!$O$6)^2+(U57-'포지션 정의'!$P$6)^2)/3)/'판정 기준'!$B$7),0)</f>
        <v>85</v>
      </c>
      <c r="AG57" s="24" t="n">
        <f aca="false">ROUND(100*(1-SQRT(((S57-'포지션 정의'!$N$7)^2+(T57-'포지션 정의'!$O$7)^2+(U57-'포지션 정의'!$P$7)^2)/3)/'판정 기준'!$B$7),0)</f>
        <v>77</v>
      </c>
      <c r="AH57" s="24" t="n">
        <f aca="false">ROUND(100*(1-SQRT(((S57-'포지션 정의'!$N$8)^2+(T57-'포지션 정의'!$O$8)^2+(U57-'포지션 정의'!$P$8)^2)/3)/'판정 기준'!$B$7),0)</f>
        <v>92</v>
      </c>
      <c r="AI57" s="24" t="n">
        <f aca="false">ROUND(100*(1-SQRT(((S57-'포지션 정의'!$N$9)^2+(T57-'포지션 정의'!$O$9)^2+(U57-'포지션 정의'!$P$9)^2)/3)/'판정 기준'!$B$7),0)</f>
        <v>68</v>
      </c>
      <c r="AJ57" s="23" t="str">
        <f aca="false">IF(G57&gt;='판정 기준'!$B$8,"경기긴장도, ","")&amp;IF(Q57&gt;='판정 기준'!$B$8,"사회적 도움 활용, ","")&amp;IF(K57&gt;='판정 기준'!$B$8,"경기 준비 능력, ","")&amp;IF(N57&gt;='판정 기준'!$B$8,"실수 후 회복력, ","")&amp;IF(P57&gt;='판정 기준'!$B$8,"자기 통제력, ","")</f>
        <v/>
      </c>
      <c r="AK57" s="23" t="n">
        <f aca="false">IF(AND(G57&lt;'판정 기준'!$B$8,OR(AJ57&lt;&gt;"",AP57&lt;&gt;"경기긴장도")),G57,0)</f>
        <v>3</v>
      </c>
      <c r="AL57" s="23" t="n">
        <f aca="false">IF(AND(Q57&lt;'판정 기준'!$B$8,OR(AJ57&lt;&gt;"",AP57&lt;&gt;"사회적 도움 활용")),Q57,0)</f>
        <v>0</v>
      </c>
      <c r="AM57" s="23" t="n">
        <f aca="false">IF(AND(K57&lt;'판정 기준'!$B$8,OR(AJ57&lt;&gt;"",AP57&lt;&gt;"경기 준비 능력")),K57,0)</f>
        <v>3.7</v>
      </c>
      <c r="AN57" s="23" t="n">
        <f aca="false">IF(AND(N57&lt;'판정 기준'!$B$8,OR(AJ57&lt;&gt;"",AP57&lt;&gt;"실수 후 회복력")),N57,0)</f>
        <v>4.4</v>
      </c>
      <c r="AO57" s="23" t="n">
        <f aca="false">IF(AND(P57&lt;'판정 기준'!$B$8,OR(AJ57&lt;&gt;"",AP57&lt;&gt;"자기 통제력")),P57,0)</f>
        <v>3.8</v>
      </c>
      <c r="AP57" s="23" t="str">
        <f aca="false">IF(Q57=MAX(G57,Q57,K57,N57,P57),"사회적 도움 활용",IF(P57=MAX(G57,Q57,K57,N57,P57),"자기 통제력",IF(G57=MAX(G57,Q57,K57,N57,P57),"경기긴장도",IF(K57=MAX(G57,Q57,K57,N57,P57),"경기 준비 능력","실수 후 회복력"))))</f>
        <v>사회적 도움 활용</v>
      </c>
    </row>
    <row r="58" customFormat="false" ht="17.15" hidden="false" customHeight="false" outlineLevel="0" collapsed="false">
      <c r="A58" s="13" t="s">
        <v>269</v>
      </c>
      <c r="B58" s="13" t="s">
        <v>187</v>
      </c>
      <c r="C58" s="13" t="s">
        <v>252</v>
      </c>
      <c r="D58" s="14" t="n">
        <v>46182</v>
      </c>
      <c r="E58" s="41" t="s">
        <v>198</v>
      </c>
      <c r="F58" s="42" t="n">
        <v>5</v>
      </c>
      <c r="G58" s="42" t="n">
        <v>4.6</v>
      </c>
      <c r="H58" s="42" t="n">
        <v>5.2</v>
      </c>
      <c r="I58" s="42" t="n">
        <v>5.2</v>
      </c>
      <c r="J58" s="42" t="n">
        <v>4.5</v>
      </c>
      <c r="K58" s="42" t="n">
        <v>4.3</v>
      </c>
      <c r="L58" s="42" t="n">
        <v>4.7</v>
      </c>
      <c r="M58" s="42" t="n">
        <v>4</v>
      </c>
      <c r="N58" s="42" t="n">
        <v>5.9</v>
      </c>
      <c r="O58" s="42" t="n">
        <v>5.5</v>
      </c>
      <c r="P58" s="42" t="n">
        <v>5</v>
      </c>
      <c r="Q58" s="42" t="n">
        <v>5.6</v>
      </c>
      <c r="R58" s="42" t="n">
        <v>5.7</v>
      </c>
      <c r="S58" s="37" t="n">
        <f aca="false">AVERAGE(G58:J58)</f>
        <v>4.875</v>
      </c>
      <c r="T58" s="37" t="n">
        <f aca="false">AVERAGE(K58:M58)</f>
        <v>4.33333333333333</v>
      </c>
      <c r="U58" s="37" t="n">
        <f aca="false">AVERAGE(N58:O58)</f>
        <v>5.7</v>
      </c>
      <c r="V58" s="23" t="str">
        <f aca="false">IF(S58&gt;='판정 기준'!$B$3,"H","L")&amp;IF(T58&gt;='판정 기준'!$B$3,"H","L")&amp;IF(U58&gt;='판정 기준'!$B$3,"H","L")</f>
        <v>HLH</v>
      </c>
      <c r="W58" s="36" t="str">
        <f aca="false">INDEX('포지션 정의'!$A$2:$A$9,MATCH(V58,'포지션 정의'!$D$2:$D$9,0))</f>
        <v>D</v>
      </c>
      <c r="X58" s="36" t="str">
        <f aca="false">INDEX('포지션 정의'!$B$2:$B$9,MATCH(V58,'포지션 정의'!$D$2:$D$9,0))</f>
        <v>실전 승부사형</v>
      </c>
      <c r="Y58" s="43" t="str">
        <f aca="false">IF(AJ58="","가장 높은 지표: "&amp;AP58,LEFT(AJ58,LEN(AJ58)-2))</f>
        <v>사회적 도움 활용, 실수 후 회복력, 자기 통제력</v>
      </c>
      <c r="Z58" s="43" t="str">
        <f aca="false">IF(MAX(AK58:AO58)=0,"심화: "&amp;IF(N58=MIN(G58,Q58,K58,N58,P58),"실수 후 회복력",IF(K58=MIN(G58,Q58,K58,N58,P58),"경기 준비 능력",IF(G58=MIN(G58,Q58,K58,N58,P58),"경기긴장도",IF(P58=MIN(G58,Q58,K58,N58,P58),"자기 통제력","사회적 도움 활용")))),IF(MAX(AK58:AO58)&gt;='판정 기준'!$B$8-'판정 기준'!$B$4,IF(AN58=MAX(AK58:AO58),"실수 후 회복력",IF(AM58=MAX(AK58:AO58),"경기 준비 능력",IF(AK58=MAX(AK58:AO58),"경기긴장도",IF(AO58=MAX(AK58:AO58),"자기 통제력","사회적 도움 활용")))),IF(AN58&gt;0,"실수 후 회복력",IF(AM58&gt;0,"경기 준비 능력",IF(AK58&gt;0,"경기긴장도",IF(AO58&gt;0,"자기 통제력","사회적 도움 활용"))))))</f>
        <v>경기긴장도</v>
      </c>
      <c r="AA58" s="43" t="str">
        <f aca="false">INDEX('포지션 정의'!$L$2:$L$9,MATCH(V58,'포지션 정의'!$D$2:$D$9,0))</f>
        <v>즐라탄 이브라히모비치 · 호나우지뉴 · 디에고 마라도나</v>
      </c>
      <c r="AB58" s="24" t="n">
        <f aca="false">ROUND(100*(1-SQRT(((S58-'포지션 정의'!$N$2)^2+(T58-'포지션 정의'!$O$2)^2+(U58-'포지션 정의'!$P$2)^2)/3)/'판정 기준'!$B$7),0)</f>
        <v>73</v>
      </c>
      <c r="AC58" s="24" t="n">
        <f aca="false">ROUND(100*(1-SQRT(((S58-'포지션 정의'!$N$3)^2+(T58-'포지션 정의'!$O$3)^2+(U58-'포지션 정의'!$P$3)^2)/3)/'판정 기준'!$B$7),0)</f>
        <v>76</v>
      </c>
      <c r="AD58" s="24" t="n">
        <f aca="false">ROUND(100*(1-SQRT(((S58-'포지션 정의'!$N$4)^2+(T58-'포지션 정의'!$O$4)^2+(U58-'포지션 정의'!$P$4)^2)/3)/'판정 기준'!$B$7),0)</f>
        <v>77</v>
      </c>
      <c r="AE58" s="24" t="n">
        <f aca="false">ROUND(100*(1-SQRT(((S58-'포지션 정의'!$N$5)^2+(T58-'포지션 정의'!$O$5)^2+(U58-'포지션 정의'!$P$5)^2)/3)/'판정 기준'!$B$7),0)</f>
        <v>91</v>
      </c>
      <c r="AF58" s="24" t="n">
        <f aca="false">ROUND(100*(1-SQRT(((S58-'포지션 정의'!$N$6)^2+(T58-'포지션 정의'!$O$6)^2+(U58-'포지션 정의'!$P$6)^2)/3)/'판정 기준'!$B$7),0)</f>
        <v>85</v>
      </c>
      <c r="AG58" s="24" t="n">
        <f aca="false">ROUND(100*(1-SQRT(((S58-'포지션 정의'!$N$7)^2+(T58-'포지션 정의'!$O$7)^2+(U58-'포지션 정의'!$P$7)^2)/3)/'판정 기준'!$B$7),0)</f>
        <v>83</v>
      </c>
      <c r="AH58" s="24" t="n">
        <f aca="false">ROUND(100*(1-SQRT(((S58-'포지션 정의'!$N$8)^2+(T58-'포지션 정의'!$O$8)^2+(U58-'포지션 정의'!$P$8)^2)/3)/'판정 기준'!$B$7),0)</f>
        <v>74</v>
      </c>
      <c r="AI58" s="24" t="n">
        <f aca="false">ROUND(100*(1-SQRT(((S58-'포지션 정의'!$N$9)^2+(T58-'포지션 정의'!$O$9)^2+(U58-'포지션 정의'!$P$9)^2)/3)/'판정 기준'!$B$7),0)</f>
        <v>88</v>
      </c>
      <c r="AJ58" s="23" t="str">
        <f aca="false">IF(G58&gt;='판정 기준'!$B$8,"경기긴장도, ","")&amp;IF(Q58&gt;='판정 기준'!$B$8,"사회적 도움 활용, ","")&amp;IF(K58&gt;='판정 기준'!$B$8,"경기 준비 능력, ","")&amp;IF(N58&gt;='판정 기준'!$B$8,"실수 후 회복력, ","")&amp;IF(P58&gt;='판정 기준'!$B$8,"자기 통제력, ","")</f>
        <v>사회적 도움 활용, 실수 후 회복력, 자기 통제력, </v>
      </c>
      <c r="AK58" s="23" t="n">
        <f aca="false">IF(AND(G58&lt;'판정 기준'!$B$8,OR(AJ58&lt;&gt;"",AP58&lt;&gt;"경기긴장도")),G58,0)</f>
        <v>4.6</v>
      </c>
      <c r="AL58" s="23" t="n">
        <f aca="false">IF(AND(Q58&lt;'판정 기준'!$B$8,OR(AJ58&lt;&gt;"",AP58&lt;&gt;"사회적 도움 활용")),Q58,0)</f>
        <v>0</v>
      </c>
      <c r="AM58" s="23" t="n">
        <f aca="false">IF(AND(K58&lt;'판정 기준'!$B$8,OR(AJ58&lt;&gt;"",AP58&lt;&gt;"경기 준비 능력")),K58,0)</f>
        <v>4.3</v>
      </c>
      <c r="AN58" s="23" t="n">
        <f aca="false">IF(AND(N58&lt;'판정 기준'!$B$8,OR(AJ58&lt;&gt;"",AP58&lt;&gt;"실수 후 회복력")),N58,0)</f>
        <v>0</v>
      </c>
      <c r="AO58" s="23" t="n">
        <f aca="false">IF(AND(P58&lt;'판정 기준'!$B$8,OR(AJ58&lt;&gt;"",AP58&lt;&gt;"자기 통제력")),P58,0)</f>
        <v>0</v>
      </c>
      <c r="AP58" s="23" t="str">
        <f aca="false">IF(Q58=MAX(G58,Q58,K58,N58,P58),"사회적 도움 활용",IF(P58=MAX(G58,Q58,K58,N58,P58),"자기 통제력",IF(G58=MAX(G58,Q58,K58,N58,P58),"경기긴장도",IF(K58=MAX(G58,Q58,K58,N58,P58),"경기 준비 능력","실수 후 회복력"))))</f>
        <v>실수 후 회복력</v>
      </c>
    </row>
    <row r="59" customFormat="false" ht="17.15" hidden="false" customHeight="false" outlineLevel="0" collapsed="false">
      <c r="A59" s="13" t="s">
        <v>270</v>
      </c>
      <c r="B59" s="13" t="s">
        <v>187</v>
      </c>
      <c r="C59" s="13" t="s">
        <v>271</v>
      </c>
      <c r="D59" s="14" t="n">
        <v>46181</v>
      </c>
      <c r="E59" s="41" t="s">
        <v>198</v>
      </c>
      <c r="F59" s="42" t="n">
        <v>3.9</v>
      </c>
      <c r="G59" s="42" t="n">
        <v>2.9</v>
      </c>
      <c r="H59" s="42" t="n">
        <v>2.8</v>
      </c>
      <c r="I59" s="42" t="n">
        <v>3.4</v>
      </c>
      <c r="J59" s="42" t="n">
        <v>3.2</v>
      </c>
      <c r="K59" s="42" t="n">
        <v>5.1</v>
      </c>
      <c r="L59" s="42" t="n">
        <v>5.7</v>
      </c>
      <c r="M59" s="42" t="n">
        <v>4.6</v>
      </c>
      <c r="N59" s="42" t="n">
        <v>3.4</v>
      </c>
      <c r="O59" s="42" t="n">
        <v>4.7</v>
      </c>
      <c r="P59" s="42" t="n">
        <v>4.2</v>
      </c>
      <c r="Q59" s="42" t="n">
        <v>3.8</v>
      </c>
      <c r="R59" s="42" t="n">
        <v>6</v>
      </c>
      <c r="S59" s="37" t="n">
        <f aca="false">AVERAGE(G59:J59)</f>
        <v>3.075</v>
      </c>
      <c r="T59" s="37" t="n">
        <f aca="false">AVERAGE(K59:M59)</f>
        <v>5.13333333333333</v>
      </c>
      <c r="U59" s="37" t="n">
        <f aca="false">AVERAGE(N59:O59)</f>
        <v>4.05</v>
      </c>
      <c r="V59" s="23" t="str">
        <f aca="false">IF(S59&gt;='판정 기준'!$B$3,"H","L")&amp;IF(T59&gt;='판정 기준'!$B$3,"H","L")&amp;IF(U59&gt;='판정 기준'!$B$3,"H","L")</f>
        <v>LHL</v>
      </c>
      <c r="W59" s="36" t="str">
        <f aca="false">INDEX('포지션 정의'!$A$2:$A$9,MATCH(V59,'포지션 정의'!$D$2:$D$9,0))</f>
        <v>A</v>
      </c>
      <c r="X59" s="36" t="str">
        <f aca="false">INDEX('포지션 정의'!$B$2:$B$9,MATCH(V59,'포지션 정의'!$D$2:$D$9,0))</f>
        <v>섬세한 준비형</v>
      </c>
      <c r="Y59" s="43" t="str">
        <f aca="false">IF(AJ59="","가장 높은 지표: "&amp;AP59,LEFT(AJ59,LEN(AJ59)-2))</f>
        <v>경기 준비 능력</v>
      </c>
      <c r="Z59" s="43" t="str">
        <f aca="false">IF(MAX(AK59:AO59)=0,"심화: "&amp;IF(N59=MIN(G59,Q59,K59,N59,P59),"실수 후 회복력",IF(K59=MIN(G59,Q59,K59,N59,P59),"경기 준비 능력",IF(G59=MIN(G59,Q59,K59,N59,P59),"경기긴장도",IF(P59=MIN(G59,Q59,K59,N59,P59),"자기 통제력","사회적 도움 활용")))),IF(MAX(AK59:AO59)&gt;='판정 기준'!$B$8-'판정 기준'!$B$4,IF(AN59=MAX(AK59:AO59),"실수 후 회복력",IF(AM59=MAX(AK59:AO59),"경기 준비 능력",IF(AK59=MAX(AK59:AO59),"경기긴장도",IF(AO59=MAX(AK59:AO59),"자기 통제력","사회적 도움 활용")))),IF(AN59&gt;0,"실수 후 회복력",IF(AM59&gt;0,"경기 준비 능력",IF(AK59&gt;0,"경기긴장도",IF(AO59&gt;0,"자기 통제력","사회적 도움 활용"))))))</f>
        <v>실수 후 회복력</v>
      </c>
      <c r="AA59" s="43" t="str">
        <f aca="false">INDEX('포지션 정의'!$L$2:$L$9,MATCH(V59,'포지션 정의'!$D$2:$D$9,0))</f>
        <v>로베르트 레반도프스키 · 제임스 밀너 · 마르틴 외데고르</v>
      </c>
      <c r="AB59" s="24" t="n">
        <f aca="false">ROUND(100*(1-SQRT(((S59-'포지션 정의'!$N$2)^2+(T59-'포지션 정의'!$O$2)^2+(U59-'포지션 정의'!$P$2)^2)/3)/'판정 기준'!$B$7),0)</f>
        <v>91</v>
      </c>
      <c r="AC59" s="24" t="n">
        <f aca="false">ROUND(100*(1-SQRT(((S59-'포지션 정의'!$N$3)^2+(T59-'포지션 정의'!$O$3)^2+(U59-'포지션 정의'!$P$3)^2)/3)/'판정 기준'!$B$7),0)</f>
        <v>75</v>
      </c>
      <c r="AD59" s="24" t="n">
        <f aca="false">ROUND(100*(1-SQRT(((S59-'포지션 정의'!$N$4)^2+(T59-'포지션 정의'!$O$4)^2+(U59-'포지션 정의'!$P$4)^2)/3)/'판정 기준'!$B$7),0)</f>
        <v>71</v>
      </c>
      <c r="AE59" s="24" t="n">
        <f aca="false">ROUND(100*(1-SQRT(((S59-'포지션 정의'!$N$5)^2+(T59-'포지션 정의'!$O$5)^2+(U59-'포지션 정의'!$P$5)^2)/3)/'판정 기준'!$B$7),0)</f>
        <v>68</v>
      </c>
      <c r="AF59" s="24" t="n">
        <f aca="false">ROUND(100*(1-SQRT(((S59-'포지션 정의'!$N$6)^2+(T59-'포지션 정의'!$O$6)^2+(U59-'포지션 정의'!$P$6)^2)/3)/'판정 기준'!$B$7),0)</f>
        <v>78</v>
      </c>
      <c r="AG59" s="24" t="n">
        <f aca="false">ROUND(100*(1-SQRT(((S59-'포지션 정의'!$N$7)^2+(T59-'포지션 정의'!$O$7)^2+(U59-'포지션 정의'!$P$7)^2)/3)/'판정 기준'!$B$7),0)</f>
        <v>84</v>
      </c>
      <c r="AH59" s="24" t="n">
        <f aca="false">ROUND(100*(1-SQRT(((S59-'포지션 정의'!$N$8)^2+(T59-'포지션 정의'!$O$8)^2+(U59-'포지션 정의'!$P$8)^2)/3)/'판정 기준'!$B$7),0)</f>
        <v>82</v>
      </c>
      <c r="AI59" s="24" t="n">
        <f aca="false">ROUND(100*(1-SQRT(((S59-'포지션 정의'!$N$9)^2+(T59-'포지션 정의'!$O$9)^2+(U59-'포지션 정의'!$P$9)^2)/3)/'판정 기준'!$B$7),0)</f>
        <v>72</v>
      </c>
      <c r="AJ59" s="23" t="str">
        <f aca="false">IF(G59&gt;='판정 기준'!$B$8,"경기긴장도, ","")&amp;IF(Q59&gt;='판정 기준'!$B$8,"사회적 도움 활용, ","")&amp;IF(K59&gt;='판정 기준'!$B$8,"경기 준비 능력, ","")&amp;IF(N59&gt;='판정 기준'!$B$8,"실수 후 회복력, ","")&amp;IF(P59&gt;='판정 기준'!$B$8,"자기 통제력, ","")</f>
        <v>경기 준비 능력, </v>
      </c>
      <c r="AK59" s="23" t="n">
        <f aca="false">IF(AND(G59&lt;'판정 기준'!$B$8,OR(AJ59&lt;&gt;"",AP59&lt;&gt;"경기긴장도")),G59,0)</f>
        <v>2.9</v>
      </c>
      <c r="AL59" s="23" t="n">
        <f aca="false">IF(AND(Q59&lt;'판정 기준'!$B$8,OR(AJ59&lt;&gt;"",AP59&lt;&gt;"사회적 도움 활용")),Q59,0)</f>
        <v>3.8</v>
      </c>
      <c r="AM59" s="23" t="n">
        <f aca="false">IF(AND(K59&lt;'판정 기준'!$B$8,OR(AJ59&lt;&gt;"",AP59&lt;&gt;"경기 준비 능력")),K59,0)</f>
        <v>0</v>
      </c>
      <c r="AN59" s="23" t="n">
        <f aca="false">IF(AND(N59&lt;'판정 기준'!$B$8,OR(AJ59&lt;&gt;"",AP59&lt;&gt;"실수 후 회복력")),N59,0)</f>
        <v>3.4</v>
      </c>
      <c r="AO59" s="23" t="n">
        <f aca="false">IF(AND(P59&lt;'판정 기준'!$B$8,OR(AJ59&lt;&gt;"",AP59&lt;&gt;"자기 통제력")),P59,0)</f>
        <v>4.2</v>
      </c>
      <c r="AP59" s="23" t="str">
        <f aca="false">IF(Q59=MAX(G59,Q59,K59,N59,P59),"사회적 도움 활용",IF(P59=MAX(G59,Q59,K59,N59,P59),"자기 통제력",IF(G59=MAX(G59,Q59,K59,N59,P59),"경기긴장도",IF(K59=MAX(G59,Q59,K59,N59,P59),"경기 준비 능력","실수 후 회복력"))))</f>
        <v>경기 준비 능력</v>
      </c>
    </row>
    <row r="60" customFormat="false" ht="17.15" hidden="false" customHeight="false" outlineLevel="0" collapsed="false">
      <c r="A60" s="13" t="s">
        <v>272</v>
      </c>
      <c r="B60" s="13" t="s">
        <v>187</v>
      </c>
      <c r="C60" s="13" t="s">
        <v>273</v>
      </c>
      <c r="D60" s="14" t="n">
        <v>46177</v>
      </c>
      <c r="E60" s="41" t="s">
        <v>198</v>
      </c>
      <c r="F60" s="42" t="n">
        <v>3.6</v>
      </c>
      <c r="G60" s="42" t="n">
        <v>2.1</v>
      </c>
      <c r="H60" s="42" t="n">
        <v>1.7</v>
      </c>
      <c r="I60" s="42" t="n">
        <v>2.4</v>
      </c>
      <c r="J60" s="42" t="n">
        <v>2.8</v>
      </c>
      <c r="K60" s="42" t="n">
        <v>4.9</v>
      </c>
      <c r="L60" s="42" t="n">
        <v>5.3</v>
      </c>
      <c r="M60" s="42" t="n">
        <v>4.6</v>
      </c>
      <c r="N60" s="42" t="n">
        <v>3.4</v>
      </c>
      <c r="O60" s="42" t="n">
        <v>4</v>
      </c>
      <c r="P60" s="42" t="n">
        <v>4.2</v>
      </c>
      <c r="Q60" s="42" t="n">
        <v>2.4</v>
      </c>
      <c r="R60" s="42" t="n">
        <v>6</v>
      </c>
      <c r="S60" s="37" t="n">
        <f aca="false">AVERAGE(G60:J60)</f>
        <v>2.25</v>
      </c>
      <c r="T60" s="37" t="n">
        <f aca="false">AVERAGE(K60:M60)</f>
        <v>4.93333333333333</v>
      </c>
      <c r="U60" s="37" t="n">
        <f aca="false">AVERAGE(N60:O60)</f>
        <v>3.7</v>
      </c>
      <c r="V60" s="23" t="str">
        <f aca="false">IF(S60&gt;='판정 기준'!$B$3,"H","L")&amp;IF(T60&gt;='판정 기준'!$B$3,"H","L")&amp;IF(U60&gt;='판정 기준'!$B$3,"H","L")</f>
        <v>LHL</v>
      </c>
      <c r="W60" s="36" t="str">
        <f aca="false">INDEX('포지션 정의'!$A$2:$A$9,MATCH(V60,'포지션 정의'!$D$2:$D$9,0))</f>
        <v>A</v>
      </c>
      <c r="X60" s="36" t="str">
        <f aca="false">INDEX('포지션 정의'!$B$2:$B$9,MATCH(V60,'포지션 정의'!$D$2:$D$9,0))</f>
        <v>섬세한 준비형</v>
      </c>
      <c r="Y60" s="43" t="str">
        <f aca="false">IF(AJ60="","가장 높은 지표: "&amp;AP60,LEFT(AJ60,LEN(AJ60)-2))</f>
        <v>경기 준비 능력</v>
      </c>
      <c r="Z60" s="43" t="str">
        <f aca="false">IF(MAX(AK60:AO60)=0,"심화: "&amp;IF(N60=MIN(G60,Q60,K60,N60,P60),"실수 후 회복력",IF(K60=MIN(G60,Q60,K60,N60,P60),"경기 준비 능력",IF(G60=MIN(G60,Q60,K60,N60,P60),"경기긴장도",IF(P60=MIN(G60,Q60,K60,N60,P60),"자기 통제력","사회적 도움 활용")))),IF(MAX(AK60:AO60)&gt;='판정 기준'!$B$8-'판정 기준'!$B$4,IF(AN60=MAX(AK60:AO60),"실수 후 회복력",IF(AM60=MAX(AK60:AO60),"경기 준비 능력",IF(AK60=MAX(AK60:AO60),"경기긴장도",IF(AO60=MAX(AK60:AO60),"자기 통제력","사회적 도움 활용")))),IF(AN60&gt;0,"실수 후 회복력",IF(AM60&gt;0,"경기 준비 능력",IF(AK60&gt;0,"경기긴장도",IF(AO60&gt;0,"자기 통제력","사회적 도움 활용"))))))</f>
        <v>실수 후 회복력</v>
      </c>
      <c r="AA60" s="43" t="str">
        <f aca="false">INDEX('포지션 정의'!$L$2:$L$9,MATCH(V60,'포지션 정의'!$D$2:$D$9,0))</f>
        <v>로베르트 레반도프스키 · 제임스 밀너 · 마르틴 외데고르</v>
      </c>
      <c r="AB60" s="24" t="n">
        <f aca="false">ROUND(100*(1-SQRT(((S60-'포지션 정의'!$N$2)^2+(T60-'포지션 정의'!$O$2)^2+(U60-'포지션 정의'!$P$2)^2)/3)/'판정 기준'!$B$7),0)</f>
        <v>82</v>
      </c>
      <c r="AC60" s="24" t="n">
        <f aca="false">ROUND(100*(1-SQRT(((S60-'포지션 정의'!$N$3)^2+(T60-'포지션 정의'!$O$3)^2+(U60-'포지션 정의'!$P$3)^2)/3)/'판정 기준'!$B$7),0)</f>
        <v>66</v>
      </c>
      <c r="AD60" s="24" t="n">
        <f aca="false">ROUND(100*(1-SQRT(((S60-'포지션 정의'!$N$4)^2+(T60-'포지션 정의'!$O$4)^2+(U60-'포지션 정의'!$P$4)^2)/3)/'판정 기준'!$B$7),0)</f>
        <v>63</v>
      </c>
      <c r="AE60" s="24" t="n">
        <f aca="false">ROUND(100*(1-SQRT(((S60-'포지션 정의'!$N$5)^2+(T60-'포지션 정의'!$O$5)^2+(U60-'포지션 정의'!$P$5)^2)/3)/'판정 기준'!$B$7),0)</f>
        <v>60</v>
      </c>
      <c r="AF60" s="24" t="n">
        <f aca="false">ROUND(100*(1-SQRT(((S60-'포지션 정의'!$N$6)^2+(T60-'포지션 정의'!$O$6)^2+(U60-'포지션 정의'!$P$6)^2)/3)/'판정 기준'!$B$7),0)</f>
        <v>72</v>
      </c>
      <c r="AG60" s="24" t="n">
        <f aca="false">ROUND(100*(1-SQRT(((S60-'포지션 정의'!$N$7)^2+(T60-'포지션 정의'!$O$7)^2+(U60-'포지션 정의'!$P$7)^2)/3)/'판정 기준'!$B$7),0)</f>
        <v>75</v>
      </c>
      <c r="AH60" s="24" t="n">
        <f aca="false">ROUND(100*(1-SQRT(((S60-'포지션 정의'!$N$8)^2+(T60-'포지션 정의'!$O$8)^2+(U60-'포지션 정의'!$P$8)^2)/3)/'판정 기준'!$B$7),0)</f>
        <v>78</v>
      </c>
      <c r="AI60" s="24" t="n">
        <f aca="false">ROUND(100*(1-SQRT(((S60-'포지션 정의'!$N$9)^2+(T60-'포지션 정의'!$O$9)^2+(U60-'포지션 정의'!$P$9)^2)/3)/'판정 기준'!$B$7),0)</f>
        <v>62</v>
      </c>
      <c r="AJ60" s="23" t="str">
        <f aca="false">IF(G60&gt;='판정 기준'!$B$8,"경기긴장도, ","")&amp;IF(Q60&gt;='판정 기준'!$B$8,"사회적 도움 활용, ","")&amp;IF(K60&gt;='판정 기준'!$B$8,"경기 준비 능력, ","")&amp;IF(N60&gt;='판정 기준'!$B$8,"실수 후 회복력, ","")&amp;IF(P60&gt;='판정 기준'!$B$8,"자기 통제력, ","")</f>
        <v>경기 준비 능력, </v>
      </c>
      <c r="AK60" s="23" t="n">
        <f aca="false">IF(AND(G60&lt;'판정 기준'!$B$8,OR(AJ60&lt;&gt;"",AP60&lt;&gt;"경기긴장도")),G60,0)</f>
        <v>2.1</v>
      </c>
      <c r="AL60" s="23" t="n">
        <f aca="false">IF(AND(Q60&lt;'판정 기준'!$B$8,OR(AJ60&lt;&gt;"",AP60&lt;&gt;"사회적 도움 활용")),Q60,0)</f>
        <v>2.4</v>
      </c>
      <c r="AM60" s="23" t="n">
        <f aca="false">IF(AND(K60&lt;'판정 기준'!$B$8,OR(AJ60&lt;&gt;"",AP60&lt;&gt;"경기 준비 능력")),K60,0)</f>
        <v>0</v>
      </c>
      <c r="AN60" s="23" t="n">
        <f aca="false">IF(AND(N60&lt;'판정 기준'!$B$8,OR(AJ60&lt;&gt;"",AP60&lt;&gt;"실수 후 회복력")),N60,0)</f>
        <v>3.4</v>
      </c>
      <c r="AO60" s="23" t="n">
        <f aca="false">IF(AND(P60&lt;'판정 기준'!$B$8,OR(AJ60&lt;&gt;"",AP60&lt;&gt;"자기 통제력")),P60,0)</f>
        <v>4.2</v>
      </c>
      <c r="AP60" s="23" t="str">
        <f aca="false">IF(Q60=MAX(G60,Q60,K60,N60,P60),"사회적 도움 활용",IF(P60=MAX(G60,Q60,K60,N60,P60),"자기 통제력",IF(G60=MAX(G60,Q60,K60,N60,P60),"경기긴장도",IF(K60=MAX(G60,Q60,K60,N60,P60),"경기 준비 능력","실수 후 회복력"))))</f>
        <v>경기 준비 능력</v>
      </c>
    </row>
    <row r="61" customFormat="false" ht="17.15" hidden="false" customHeight="false" outlineLevel="0" collapsed="false">
      <c r="A61" s="13" t="s">
        <v>274</v>
      </c>
      <c r="B61" s="13" t="s">
        <v>187</v>
      </c>
      <c r="C61" s="13" t="s">
        <v>273</v>
      </c>
      <c r="D61" s="14" t="n">
        <v>46177</v>
      </c>
      <c r="E61" s="41" t="s">
        <v>198</v>
      </c>
      <c r="F61" s="42" t="n">
        <v>3.8</v>
      </c>
      <c r="G61" s="42" t="n">
        <v>3.5</v>
      </c>
      <c r="H61" s="42" t="n">
        <v>4</v>
      </c>
      <c r="I61" s="42" t="n">
        <v>3.6</v>
      </c>
      <c r="J61" s="42" t="n">
        <v>3.8</v>
      </c>
      <c r="K61" s="42" t="n">
        <v>3.8</v>
      </c>
      <c r="L61" s="42" t="n">
        <v>3.5</v>
      </c>
      <c r="M61" s="42" t="n">
        <v>4</v>
      </c>
      <c r="N61" s="42" t="n">
        <v>4</v>
      </c>
      <c r="O61" s="42" t="n">
        <v>3.5</v>
      </c>
      <c r="P61" s="42" t="n">
        <v>3.8</v>
      </c>
      <c r="Q61" s="42" t="n">
        <v>5</v>
      </c>
      <c r="R61" s="42" t="n">
        <v>5</v>
      </c>
      <c r="S61" s="37" t="n">
        <f aca="false">AVERAGE(G61:J61)</f>
        <v>3.725</v>
      </c>
      <c r="T61" s="37" t="n">
        <f aca="false">AVERAGE(K61:M61)</f>
        <v>3.76666666666667</v>
      </c>
      <c r="U61" s="37" t="n">
        <f aca="false">AVERAGE(N61:O61)</f>
        <v>3.75</v>
      </c>
      <c r="V61" s="23" t="str">
        <f aca="false">IF(S61&gt;='판정 기준'!$B$3,"H","L")&amp;IF(T61&gt;='판정 기준'!$B$3,"H","L")&amp;IF(U61&gt;='판정 기준'!$B$3,"H","L")</f>
        <v>LLL</v>
      </c>
      <c r="W61" s="36" t="str">
        <f aca="false">INDEX('포지션 정의'!$A$2:$A$9,MATCH(V61,'포지션 정의'!$D$2:$D$9,0))</f>
        <v>G</v>
      </c>
      <c r="X61" s="36" t="str">
        <f aca="false">INDEX('포지션 정의'!$B$2:$B$9,MATCH(V61,'포지션 정의'!$D$2:$D$9,0))</f>
        <v>스펀지 흡수형</v>
      </c>
      <c r="Y61" s="43" t="str">
        <f aca="false">IF(AJ61="","가장 높은 지표: "&amp;AP61,LEFT(AJ61,LEN(AJ61)-2))</f>
        <v>사회적 도움 활용</v>
      </c>
      <c r="Z61" s="43" t="str">
        <f aca="false">IF(MAX(AK61:AO61)=0,"심화: "&amp;IF(N61=MIN(G61,Q61,K61,N61,P61),"실수 후 회복력",IF(K61=MIN(G61,Q61,K61,N61,P61),"경기 준비 능력",IF(G61=MIN(G61,Q61,K61,N61,P61),"경기긴장도",IF(P61=MIN(G61,Q61,K61,N61,P61),"자기 통제력","사회적 도움 활용")))),IF(MAX(AK61:AO61)&gt;='판정 기준'!$B$8-'판정 기준'!$B$4,IF(AN61=MAX(AK61:AO61),"실수 후 회복력",IF(AM61=MAX(AK61:AO61),"경기 준비 능력",IF(AK61=MAX(AK61:AO61),"경기긴장도",IF(AO61=MAX(AK61:AO61),"자기 통제력","사회적 도움 활용")))),IF(AN61&gt;0,"실수 후 회복력",IF(AM61&gt;0,"경기 준비 능력",IF(AK61&gt;0,"경기긴장도",IF(AO61&gt;0,"자기 통제력","사회적 도움 활용"))))))</f>
        <v>실수 후 회복력</v>
      </c>
      <c r="AA61" s="43" t="str">
        <f aca="false">INDEX('포지션 정의'!$L$2:$L$9,MATCH(V61,'포지션 정의'!$D$2:$D$9,0))</f>
        <v>디디에 드로그바 · 앙투안 그리즈만 · 모하메드 살라</v>
      </c>
      <c r="AB61" s="24" t="n">
        <f aca="false">ROUND(100*(1-SQRT(((S61-'포지션 정의'!$N$2)^2+(T61-'포지션 정의'!$O$2)^2+(U61-'포지션 정의'!$P$2)^2)/3)/'판정 기준'!$B$7),0)</f>
        <v>83</v>
      </c>
      <c r="AC61" s="24" t="n">
        <f aca="false">ROUND(100*(1-SQRT(((S61-'포지션 정의'!$N$3)^2+(T61-'포지션 정의'!$O$3)^2+(U61-'포지션 정의'!$P$3)^2)/3)/'판정 기준'!$B$7),0)</f>
        <v>76</v>
      </c>
      <c r="AD61" s="24" t="n">
        <f aca="false">ROUND(100*(1-SQRT(((S61-'포지션 정의'!$N$4)^2+(T61-'포지션 정의'!$O$4)^2+(U61-'포지션 정의'!$P$4)^2)/3)/'판정 기준'!$B$7),0)</f>
        <v>83</v>
      </c>
      <c r="AE61" s="24" t="n">
        <f aca="false">ROUND(100*(1-SQRT(((S61-'포지션 정의'!$N$5)^2+(T61-'포지션 정의'!$O$5)^2+(U61-'포지션 정의'!$P$5)^2)/3)/'판정 기준'!$B$7),0)</f>
        <v>76</v>
      </c>
      <c r="AF61" s="24" t="n">
        <f aca="false">ROUND(100*(1-SQRT(((S61-'포지션 정의'!$N$6)^2+(T61-'포지션 정의'!$O$6)^2+(U61-'포지션 정의'!$P$6)^2)/3)/'판정 기준'!$B$7),0)</f>
        <v>83</v>
      </c>
      <c r="AG61" s="24" t="n">
        <f aca="false">ROUND(100*(1-SQRT(((S61-'포지션 정의'!$N$7)^2+(T61-'포지션 정의'!$O$7)^2+(U61-'포지션 정의'!$P$7)^2)/3)/'판정 기준'!$B$7),0)</f>
        <v>76</v>
      </c>
      <c r="AH61" s="24" t="n">
        <f aca="false">ROUND(100*(1-SQRT(((S61-'포지션 정의'!$N$8)^2+(T61-'포지션 정의'!$O$8)^2+(U61-'포지션 정의'!$P$8)^2)/3)/'판정 기준'!$B$7),0)</f>
        <v>99</v>
      </c>
      <c r="AI61" s="24" t="n">
        <f aca="false">ROUND(100*(1-SQRT(((S61-'포지션 정의'!$N$9)^2+(T61-'포지션 정의'!$O$9)^2+(U61-'포지션 정의'!$P$9)^2)/3)/'판정 기준'!$B$7),0)</f>
        <v>71</v>
      </c>
      <c r="AJ61" s="23" t="str">
        <f aca="false">IF(G61&gt;='판정 기준'!$B$8,"경기긴장도, ","")&amp;IF(Q61&gt;='판정 기준'!$B$8,"사회적 도움 활용, ","")&amp;IF(K61&gt;='판정 기준'!$B$8,"경기 준비 능력, ","")&amp;IF(N61&gt;='판정 기준'!$B$8,"실수 후 회복력, ","")&amp;IF(P61&gt;='판정 기준'!$B$8,"자기 통제력, ","")</f>
        <v>사회적 도움 활용, </v>
      </c>
      <c r="AK61" s="23" t="n">
        <f aca="false">IF(AND(G61&lt;'판정 기준'!$B$8,OR(AJ61&lt;&gt;"",AP61&lt;&gt;"경기긴장도")),G61,0)</f>
        <v>3.5</v>
      </c>
      <c r="AL61" s="23" t="n">
        <f aca="false">IF(AND(Q61&lt;'판정 기준'!$B$8,OR(AJ61&lt;&gt;"",AP61&lt;&gt;"사회적 도움 활용")),Q61,0)</f>
        <v>0</v>
      </c>
      <c r="AM61" s="23" t="n">
        <f aca="false">IF(AND(K61&lt;'판정 기준'!$B$8,OR(AJ61&lt;&gt;"",AP61&lt;&gt;"경기 준비 능력")),K61,0)</f>
        <v>3.8</v>
      </c>
      <c r="AN61" s="23" t="n">
        <f aca="false">IF(AND(N61&lt;'판정 기준'!$B$8,OR(AJ61&lt;&gt;"",AP61&lt;&gt;"실수 후 회복력")),N61,0)</f>
        <v>4</v>
      </c>
      <c r="AO61" s="23" t="n">
        <f aca="false">IF(AND(P61&lt;'판정 기준'!$B$8,OR(AJ61&lt;&gt;"",AP61&lt;&gt;"자기 통제력")),P61,0)</f>
        <v>3.8</v>
      </c>
      <c r="AP61" s="23" t="str">
        <f aca="false">IF(Q61=MAX(G61,Q61,K61,N61,P61),"사회적 도움 활용",IF(P61=MAX(G61,Q61,K61,N61,P61),"자기 통제력",IF(G61=MAX(G61,Q61,K61,N61,P61),"경기긴장도",IF(K61=MAX(G61,Q61,K61,N61,P61),"경기 준비 능력","실수 후 회복력"))))</f>
        <v>사회적 도움 활용</v>
      </c>
    </row>
    <row r="62" customFormat="false" ht="17.15" hidden="false" customHeight="false" outlineLevel="0" collapsed="false">
      <c r="A62" s="13" t="s">
        <v>275</v>
      </c>
      <c r="B62" s="13" t="s">
        <v>187</v>
      </c>
      <c r="C62" s="13" t="s">
        <v>273</v>
      </c>
      <c r="D62" s="14" t="n">
        <v>46177</v>
      </c>
      <c r="E62" s="41" t="s">
        <v>198</v>
      </c>
      <c r="F62" s="42" t="n">
        <v>5.2</v>
      </c>
      <c r="G62" s="42" t="n">
        <v>5</v>
      </c>
      <c r="H62" s="42" t="n">
        <v>5</v>
      </c>
      <c r="I62" s="42" t="n">
        <v>5</v>
      </c>
      <c r="J62" s="42" t="n">
        <v>4.2</v>
      </c>
      <c r="K62" s="42" t="n">
        <v>5.1</v>
      </c>
      <c r="L62" s="42" t="n">
        <v>4.8</v>
      </c>
      <c r="M62" s="42" t="n">
        <v>5.3</v>
      </c>
      <c r="N62" s="42" t="n">
        <v>5.4</v>
      </c>
      <c r="O62" s="42" t="n">
        <v>5.3</v>
      </c>
      <c r="P62" s="42" t="n">
        <v>5.2</v>
      </c>
      <c r="Q62" s="42" t="n">
        <v>6</v>
      </c>
      <c r="R62" s="42" t="n">
        <v>5.7</v>
      </c>
      <c r="S62" s="37" t="n">
        <f aca="false">AVERAGE(G62:J62)</f>
        <v>4.8</v>
      </c>
      <c r="T62" s="37" t="n">
        <f aca="false">AVERAGE(K62:M62)</f>
        <v>5.06666666666667</v>
      </c>
      <c r="U62" s="37" t="n">
        <f aca="false">AVERAGE(N62:O62)</f>
        <v>5.35</v>
      </c>
      <c r="V62" s="23" t="str">
        <f aca="false">IF(S62&gt;='판정 기준'!$B$3,"H","L")&amp;IF(T62&gt;='판정 기준'!$B$3,"H","L")&amp;IF(U62&gt;='판정 기준'!$B$3,"H","L")</f>
        <v>HHH</v>
      </c>
      <c r="W62" s="36" t="str">
        <f aca="false">INDEX('포지션 정의'!$A$2:$A$9,MATCH(V62,'포지션 정의'!$D$2:$D$9,0))</f>
        <v>H</v>
      </c>
      <c r="X62" s="36" t="str">
        <f aca="false">INDEX('포지션 정의'!$B$2:$B$9,MATCH(V62,'포지션 정의'!$D$2:$D$9,0))</f>
        <v>올라운드 밸런스형</v>
      </c>
      <c r="Y62" s="43" t="str">
        <f aca="false">IF(AJ62="","가장 높은 지표: "&amp;AP62,LEFT(AJ62,LEN(AJ62)-2))</f>
        <v>경기긴장도, 사회적 도움 활용, 경기 준비 능력, 실수 후 회복력, 자기 통제력</v>
      </c>
      <c r="Z62" s="43" t="str">
        <f aca="false">IF(MAX(AK62:AO62)=0,"심화: "&amp;IF(N62=MIN(G62,Q62,K62,N62,P62),"실수 후 회복력",IF(K62=MIN(G62,Q62,K62,N62,P62),"경기 준비 능력",IF(G62=MIN(G62,Q62,K62,N62,P62),"경기긴장도",IF(P62=MIN(G62,Q62,K62,N62,P62),"자기 통제력","사회적 도움 활용")))),IF(MAX(AK62:AO62)&gt;='판정 기준'!$B$8-'판정 기준'!$B$4,IF(AN62=MAX(AK62:AO62),"실수 후 회복력",IF(AM62=MAX(AK62:AO62),"경기 준비 능력",IF(AK62=MAX(AK62:AO62),"경기긴장도",IF(AO62=MAX(AK62:AO62),"자기 통제력","사회적 도움 활용")))),IF(AN62&gt;0,"실수 후 회복력",IF(AM62&gt;0,"경기 준비 능력",IF(AK62&gt;0,"경기긴장도",IF(AO62&gt;0,"자기 통제력","사회적 도움 활용"))))))</f>
        <v>심화: 경기긴장도</v>
      </c>
      <c r="AA62" s="43" t="str">
        <f aca="false">INDEX('포지션 정의'!$L$2:$L$9,MATCH(V62,'포지션 정의'!$D$2:$D$9,0))</f>
        <v>크리스티아누 호날두 · 루카 모드리치 · 버질 반 다이크</v>
      </c>
      <c r="AB62" s="24" t="n">
        <f aca="false">ROUND(100*(1-SQRT(((S62-'포지션 정의'!$N$2)^2+(T62-'포지션 정의'!$O$2)^2+(U62-'포지션 정의'!$P$2)^2)/3)/'판정 기준'!$B$7),0)</f>
        <v>79</v>
      </c>
      <c r="AC62" s="24" t="n">
        <f aca="false">ROUND(100*(1-SQRT(((S62-'포지션 정의'!$N$3)^2+(T62-'포지션 정의'!$O$3)^2+(U62-'포지션 정의'!$P$3)^2)/3)/'판정 기준'!$B$7),0)</f>
        <v>81</v>
      </c>
      <c r="AD62" s="24" t="n">
        <f aca="false">ROUND(100*(1-SQRT(((S62-'포지션 정의'!$N$4)^2+(T62-'포지션 정의'!$O$4)^2+(U62-'포지션 정의'!$P$4)^2)/3)/'판정 기준'!$B$7),0)</f>
        <v>76</v>
      </c>
      <c r="AE62" s="24" t="n">
        <f aca="false">ROUND(100*(1-SQRT(((S62-'포지션 정의'!$N$5)^2+(T62-'포지션 정의'!$O$5)^2+(U62-'포지션 정의'!$P$5)^2)/3)/'판정 기준'!$B$7),0)</f>
        <v>85</v>
      </c>
      <c r="AF62" s="24" t="n">
        <f aca="false">ROUND(100*(1-SQRT(((S62-'포지션 정의'!$N$6)^2+(T62-'포지션 정의'!$O$6)^2+(U62-'포지션 정의'!$P$6)^2)/3)/'판정 기준'!$B$7),0)</f>
        <v>81</v>
      </c>
      <c r="AG62" s="24" t="n">
        <f aca="false">ROUND(100*(1-SQRT(((S62-'포지션 정의'!$N$7)^2+(T62-'포지션 정의'!$O$7)^2+(U62-'포지션 정의'!$P$7)^2)/3)/'판정 기준'!$B$7),0)</f>
        <v>88</v>
      </c>
      <c r="AH62" s="24" t="n">
        <f aca="false">ROUND(100*(1-SQRT(((S62-'포지션 정의'!$N$8)^2+(T62-'포지션 정의'!$O$8)^2+(U62-'포지션 정의'!$P$8)^2)/3)/'판정 기준'!$B$7),0)</f>
        <v>74</v>
      </c>
      <c r="AI62" s="24" t="n">
        <f aca="false">ROUND(100*(1-SQRT(((S62-'포지션 정의'!$N$9)^2+(T62-'포지션 정의'!$O$9)^2+(U62-'포지션 정의'!$P$9)^2)/3)/'판정 기준'!$B$7),0)</f>
        <v>95</v>
      </c>
      <c r="AJ62" s="23" t="str">
        <f aca="false">IF(G62&gt;='판정 기준'!$B$8,"경기긴장도, ","")&amp;IF(Q62&gt;='판정 기준'!$B$8,"사회적 도움 활용, ","")&amp;IF(K62&gt;='판정 기준'!$B$8,"경기 준비 능력, ","")&amp;IF(N62&gt;='판정 기준'!$B$8,"실수 후 회복력, ","")&amp;IF(P62&gt;='판정 기준'!$B$8,"자기 통제력, ","")</f>
        <v>경기긴장도, 사회적 도움 활용, 경기 준비 능력, 실수 후 회복력, 자기 통제력, </v>
      </c>
      <c r="AK62" s="23" t="n">
        <f aca="false">IF(AND(G62&lt;'판정 기준'!$B$8,OR(AJ62&lt;&gt;"",AP62&lt;&gt;"경기긴장도")),G62,0)</f>
        <v>0</v>
      </c>
      <c r="AL62" s="23" t="n">
        <f aca="false">IF(AND(Q62&lt;'판정 기준'!$B$8,OR(AJ62&lt;&gt;"",AP62&lt;&gt;"사회적 도움 활용")),Q62,0)</f>
        <v>0</v>
      </c>
      <c r="AM62" s="23" t="n">
        <f aca="false">IF(AND(K62&lt;'판정 기준'!$B$8,OR(AJ62&lt;&gt;"",AP62&lt;&gt;"경기 준비 능력")),K62,0)</f>
        <v>0</v>
      </c>
      <c r="AN62" s="23" t="n">
        <f aca="false">IF(AND(N62&lt;'판정 기준'!$B$8,OR(AJ62&lt;&gt;"",AP62&lt;&gt;"실수 후 회복력")),N62,0)</f>
        <v>0</v>
      </c>
      <c r="AO62" s="23" t="n">
        <f aca="false">IF(AND(P62&lt;'판정 기준'!$B$8,OR(AJ62&lt;&gt;"",AP62&lt;&gt;"자기 통제력")),P62,0)</f>
        <v>0</v>
      </c>
      <c r="AP62" s="23" t="str">
        <f aca="false">IF(Q62=MAX(G62,Q62,K62,N62,P62),"사회적 도움 활용",IF(P62=MAX(G62,Q62,K62,N62,P62),"자기 통제력",IF(G62=MAX(G62,Q62,K62,N62,P62),"경기긴장도",IF(K62=MAX(G62,Q62,K62,N62,P62),"경기 준비 능력","실수 후 회복력"))))</f>
        <v>사회적 도움 활용</v>
      </c>
    </row>
    <row r="63" customFormat="false" ht="17.15" hidden="false" customHeight="false" outlineLevel="0" collapsed="false">
      <c r="A63" s="13" t="s">
        <v>276</v>
      </c>
      <c r="B63" s="13" t="s">
        <v>187</v>
      </c>
      <c r="C63" s="13" t="s">
        <v>273</v>
      </c>
      <c r="D63" s="14" t="n">
        <v>46177</v>
      </c>
      <c r="E63" s="41" t="s">
        <v>195</v>
      </c>
      <c r="F63" s="42" t="n">
        <v>5</v>
      </c>
      <c r="G63" s="42" t="n">
        <v>5</v>
      </c>
      <c r="H63" s="42" t="n">
        <v>5</v>
      </c>
      <c r="I63" s="42" t="n">
        <v>5.2</v>
      </c>
      <c r="J63" s="42" t="n">
        <v>5</v>
      </c>
      <c r="K63" s="42" t="n">
        <v>4.8</v>
      </c>
      <c r="L63" s="42" t="n">
        <v>4.8</v>
      </c>
      <c r="M63" s="42" t="n">
        <v>4.9</v>
      </c>
      <c r="N63" s="42" t="n">
        <v>5.1</v>
      </c>
      <c r="O63" s="42" t="n">
        <v>5.3</v>
      </c>
      <c r="P63" s="42" t="n">
        <v>5.2</v>
      </c>
      <c r="Q63" s="42" t="n">
        <v>5.2</v>
      </c>
      <c r="R63" s="42" t="n">
        <v>5.3</v>
      </c>
      <c r="S63" s="37" t="n">
        <f aca="false">AVERAGE(G63:J63)</f>
        <v>5.05</v>
      </c>
      <c r="T63" s="37" t="n">
        <f aca="false">AVERAGE(K63:M63)</f>
        <v>4.83333333333333</v>
      </c>
      <c r="U63" s="37" t="n">
        <f aca="false">AVERAGE(N63:O63)</f>
        <v>5.2</v>
      </c>
      <c r="V63" s="23" t="str">
        <f aca="false">IF(S63&gt;='판정 기준'!$B$3,"H","L")&amp;IF(T63&gt;='판정 기준'!$B$3,"H","L")&amp;IF(U63&gt;='판정 기준'!$B$3,"H","L")</f>
        <v>HHH</v>
      </c>
      <c r="W63" s="36" t="str">
        <f aca="false">INDEX('포지션 정의'!$A$2:$A$9,MATCH(V63,'포지션 정의'!$D$2:$D$9,0))</f>
        <v>H</v>
      </c>
      <c r="X63" s="36" t="str">
        <f aca="false">INDEX('포지션 정의'!$B$2:$B$9,MATCH(V63,'포지션 정의'!$D$2:$D$9,0))</f>
        <v>올라운드 밸런스형</v>
      </c>
      <c r="Y63" s="43" t="str">
        <f aca="false">IF(AJ63="","가장 높은 지표: "&amp;AP63,LEFT(AJ63,LEN(AJ63)-2))</f>
        <v>경기긴장도, 사회적 도움 활용, 경기 준비 능력, 실수 후 회복력, 자기 통제력</v>
      </c>
      <c r="Z63" s="43" t="str">
        <f aca="false">IF(MAX(AK63:AO63)=0,"심화: "&amp;IF(N63=MIN(G63,Q63,K63,N63,P63),"실수 후 회복력",IF(K63=MIN(G63,Q63,K63,N63,P63),"경기 준비 능력",IF(G63=MIN(G63,Q63,K63,N63,P63),"경기긴장도",IF(P63=MIN(G63,Q63,K63,N63,P63),"자기 통제력","사회적 도움 활용")))),IF(MAX(AK63:AO63)&gt;='판정 기준'!$B$8-'판정 기준'!$B$4,IF(AN63=MAX(AK63:AO63),"실수 후 회복력",IF(AM63=MAX(AK63:AO63),"경기 준비 능력",IF(AK63=MAX(AK63:AO63),"경기긴장도",IF(AO63=MAX(AK63:AO63),"자기 통제력","사회적 도움 활용")))),IF(AN63&gt;0,"실수 후 회복력",IF(AM63&gt;0,"경기 준비 능력",IF(AK63&gt;0,"경기긴장도",IF(AO63&gt;0,"자기 통제력","사회적 도움 활용"))))))</f>
        <v>심화: 경기 준비 능력</v>
      </c>
      <c r="AA63" s="43" t="str">
        <f aca="false">INDEX('포지션 정의'!$L$2:$L$9,MATCH(V63,'포지션 정의'!$D$2:$D$9,0))</f>
        <v>크리스티아누 호날두 · 루카 모드리치 · 버질 반 다이크</v>
      </c>
      <c r="AB63" s="24" t="n">
        <f aca="false">ROUND(100*(1-SQRT(((S63-'포지션 정의'!$N$2)^2+(T63-'포지션 정의'!$O$2)^2+(U63-'포지션 정의'!$P$2)^2)/3)/'판정 기준'!$B$7),0)</f>
        <v>78</v>
      </c>
      <c r="AC63" s="24" t="n">
        <f aca="false">ROUND(100*(1-SQRT(((S63-'포지션 정의'!$N$3)^2+(T63-'포지션 정의'!$O$3)^2+(U63-'포지션 정의'!$P$3)^2)/3)/'판정 기준'!$B$7),0)</f>
        <v>83</v>
      </c>
      <c r="AD63" s="24" t="n">
        <f aca="false">ROUND(100*(1-SQRT(((S63-'포지션 정의'!$N$4)^2+(T63-'포지션 정의'!$O$4)^2+(U63-'포지션 정의'!$P$4)^2)/3)/'판정 기준'!$B$7),0)</f>
        <v>80</v>
      </c>
      <c r="AE63" s="24" t="n">
        <f aca="false">ROUND(100*(1-SQRT(((S63-'포지션 정의'!$N$5)^2+(T63-'포지션 정의'!$O$5)^2+(U63-'포지션 정의'!$P$5)^2)/3)/'판정 기준'!$B$7),0)</f>
        <v>88</v>
      </c>
      <c r="AF63" s="24" t="n">
        <f aca="false">ROUND(100*(1-SQRT(((S63-'포지션 정의'!$N$6)^2+(T63-'포지션 정의'!$O$6)^2+(U63-'포지션 정의'!$P$6)^2)/3)/'판정 기준'!$B$7),0)</f>
        <v>81</v>
      </c>
      <c r="AG63" s="24" t="n">
        <f aca="false">ROUND(100*(1-SQRT(((S63-'포지션 정의'!$N$7)^2+(T63-'포지션 정의'!$O$7)^2+(U63-'포지션 정의'!$P$7)^2)/3)/'판정 기준'!$B$7),0)</f>
        <v>85</v>
      </c>
      <c r="AH63" s="24" t="n">
        <f aca="false">ROUND(100*(1-SQRT(((S63-'포지션 정의'!$N$8)^2+(T63-'포지션 정의'!$O$8)^2+(U63-'포지션 정의'!$P$8)^2)/3)/'판정 기준'!$B$7),0)</f>
        <v>75</v>
      </c>
      <c r="AI63" s="24" t="n">
        <f aca="false">ROUND(100*(1-SQRT(((S63-'포지션 정의'!$N$9)^2+(T63-'포지션 정의'!$O$9)^2+(U63-'포지션 정의'!$P$9)^2)/3)/'판정 기준'!$B$7),0)</f>
        <v>95</v>
      </c>
      <c r="AJ63" s="23" t="str">
        <f aca="false">IF(G63&gt;='판정 기준'!$B$8,"경기긴장도, ","")&amp;IF(Q63&gt;='판정 기준'!$B$8,"사회적 도움 활용, ","")&amp;IF(K63&gt;='판정 기준'!$B$8,"경기 준비 능력, ","")&amp;IF(N63&gt;='판정 기준'!$B$8,"실수 후 회복력, ","")&amp;IF(P63&gt;='판정 기준'!$B$8,"자기 통제력, ","")</f>
        <v>경기긴장도, 사회적 도움 활용, 경기 준비 능력, 실수 후 회복력, 자기 통제력, </v>
      </c>
      <c r="AK63" s="23" t="n">
        <f aca="false">IF(AND(G63&lt;'판정 기준'!$B$8,OR(AJ63&lt;&gt;"",AP63&lt;&gt;"경기긴장도")),G63,0)</f>
        <v>0</v>
      </c>
      <c r="AL63" s="23" t="n">
        <f aca="false">IF(AND(Q63&lt;'판정 기준'!$B$8,OR(AJ63&lt;&gt;"",AP63&lt;&gt;"사회적 도움 활용")),Q63,0)</f>
        <v>0</v>
      </c>
      <c r="AM63" s="23" t="n">
        <f aca="false">IF(AND(K63&lt;'판정 기준'!$B$8,OR(AJ63&lt;&gt;"",AP63&lt;&gt;"경기 준비 능력")),K63,0)</f>
        <v>0</v>
      </c>
      <c r="AN63" s="23" t="n">
        <f aca="false">IF(AND(N63&lt;'판정 기준'!$B$8,OR(AJ63&lt;&gt;"",AP63&lt;&gt;"실수 후 회복력")),N63,0)</f>
        <v>0</v>
      </c>
      <c r="AO63" s="23" t="n">
        <f aca="false">IF(AND(P63&lt;'판정 기준'!$B$8,OR(AJ63&lt;&gt;"",AP63&lt;&gt;"자기 통제력")),P63,0)</f>
        <v>0</v>
      </c>
      <c r="AP63" s="23" t="str">
        <f aca="false">IF(Q63=MAX(G63,Q63,K63,N63,P63),"사회적 도움 활용",IF(P63=MAX(G63,Q63,K63,N63,P63),"자기 통제력",IF(G63=MAX(G63,Q63,K63,N63,P63),"경기긴장도",IF(K63=MAX(G63,Q63,K63,N63,P63),"경기 준비 능력","실수 후 회복력"))))</f>
        <v>사회적 도움 활용</v>
      </c>
    </row>
    <row r="64" customFormat="false" ht="17.15" hidden="false" customHeight="false" outlineLevel="0" collapsed="false">
      <c r="A64" s="13" t="s">
        <v>277</v>
      </c>
      <c r="B64" s="13" t="s">
        <v>187</v>
      </c>
      <c r="C64" s="13" t="s">
        <v>273</v>
      </c>
      <c r="D64" s="14" t="n">
        <v>46175</v>
      </c>
      <c r="E64" s="41" t="s">
        <v>195</v>
      </c>
      <c r="F64" s="42" t="n">
        <v>4.6</v>
      </c>
      <c r="G64" s="42" t="n">
        <v>4.5</v>
      </c>
      <c r="H64" s="42" t="n">
        <v>4</v>
      </c>
      <c r="I64" s="42" t="n">
        <v>5</v>
      </c>
      <c r="J64" s="42" t="n">
        <v>4.5</v>
      </c>
      <c r="K64" s="42" t="n">
        <v>4.1</v>
      </c>
      <c r="L64" s="42" t="n">
        <v>4.2</v>
      </c>
      <c r="M64" s="42" t="n">
        <v>4</v>
      </c>
      <c r="N64" s="42" t="n">
        <v>5.6</v>
      </c>
      <c r="O64" s="42" t="n">
        <v>5.2</v>
      </c>
      <c r="P64" s="42" t="n">
        <v>4</v>
      </c>
      <c r="Q64" s="42" t="n">
        <v>5.2</v>
      </c>
      <c r="R64" s="42" t="n">
        <v>5.7</v>
      </c>
      <c r="S64" s="37" t="n">
        <f aca="false">AVERAGE(G64:J64)</f>
        <v>4.5</v>
      </c>
      <c r="T64" s="37" t="n">
        <f aca="false">AVERAGE(K64:M64)</f>
        <v>4.1</v>
      </c>
      <c r="U64" s="37" t="n">
        <f aca="false">AVERAGE(N64:O64)</f>
        <v>5.4</v>
      </c>
      <c r="V64" s="23" t="str">
        <f aca="false">IF(S64&gt;='판정 기준'!$B$3,"H","L")&amp;IF(T64&gt;='판정 기준'!$B$3,"H","L")&amp;IF(U64&gt;='판정 기준'!$B$3,"H","L")</f>
        <v>HLH</v>
      </c>
      <c r="W64" s="36" t="str">
        <f aca="false">INDEX('포지션 정의'!$A$2:$A$9,MATCH(V64,'포지션 정의'!$D$2:$D$9,0))</f>
        <v>D</v>
      </c>
      <c r="X64" s="36" t="str">
        <f aca="false">INDEX('포지션 정의'!$B$2:$B$9,MATCH(V64,'포지션 정의'!$D$2:$D$9,0))</f>
        <v>실전 승부사형</v>
      </c>
      <c r="Y64" s="43" t="str">
        <f aca="false">IF(AJ64="","가장 높은 지표: "&amp;AP64,LEFT(AJ64,LEN(AJ64)-2))</f>
        <v>사회적 도움 활용, 실수 후 회복력</v>
      </c>
      <c r="Z64" s="43" t="str">
        <f aca="false">IF(MAX(AK64:AO64)=0,"심화: "&amp;IF(N64=MIN(G64,Q64,K64,N64,P64),"실수 후 회복력",IF(K64=MIN(G64,Q64,K64,N64,P64),"경기 준비 능력",IF(G64=MIN(G64,Q64,K64,N64,P64),"경기긴장도",IF(P64=MIN(G64,Q64,K64,N64,P64),"자기 통제력","사회적 도움 활용")))),IF(MAX(AK64:AO64)&gt;='판정 기준'!$B$8-'판정 기준'!$B$4,IF(AN64=MAX(AK64:AO64),"실수 후 회복력",IF(AM64=MAX(AK64:AO64),"경기 준비 능력",IF(AK64=MAX(AK64:AO64),"경기긴장도",IF(AO64=MAX(AK64:AO64),"자기 통제력","사회적 도움 활용")))),IF(AN64&gt;0,"실수 후 회복력",IF(AM64&gt;0,"경기 준비 능력",IF(AK64&gt;0,"경기긴장도",IF(AO64&gt;0,"자기 통제력","사회적 도움 활용"))))))</f>
        <v>경기긴장도</v>
      </c>
      <c r="AA64" s="43" t="str">
        <f aca="false">INDEX('포지션 정의'!$L$2:$L$9,MATCH(V64,'포지션 정의'!$D$2:$D$9,0))</f>
        <v>즐라탄 이브라히모비치 · 호나우지뉴 · 디에고 마라도나</v>
      </c>
      <c r="AB64" s="24" t="n">
        <f aca="false">ROUND(100*(1-SQRT(((S64-'포지션 정의'!$N$2)^2+(T64-'포지션 정의'!$O$2)^2+(U64-'포지션 정의'!$P$2)^2)/3)/'판정 기준'!$B$7),0)</f>
        <v>76</v>
      </c>
      <c r="AC64" s="24" t="n">
        <f aca="false">ROUND(100*(1-SQRT(((S64-'포지션 정의'!$N$3)^2+(T64-'포지션 정의'!$O$3)^2+(U64-'포지션 정의'!$P$3)^2)/3)/'판정 기준'!$B$7),0)</f>
        <v>76</v>
      </c>
      <c r="AD64" s="24" t="n">
        <f aca="false">ROUND(100*(1-SQRT(((S64-'포지션 정의'!$N$4)^2+(T64-'포지션 정의'!$O$4)^2+(U64-'포지션 정의'!$P$4)^2)/3)/'판정 기준'!$B$7),0)</f>
        <v>80</v>
      </c>
      <c r="AE64" s="24" t="n">
        <f aca="false">ROUND(100*(1-SQRT(((S64-'포지션 정의'!$N$5)^2+(T64-'포지션 정의'!$O$5)^2+(U64-'포지션 정의'!$P$5)^2)/3)/'판정 기준'!$B$7),0)</f>
        <v>91</v>
      </c>
      <c r="AF64" s="24" t="n">
        <f aca="false">ROUND(100*(1-SQRT(((S64-'포지션 정의'!$N$6)^2+(T64-'포지션 정의'!$O$6)^2+(U64-'포지션 정의'!$P$6)^2)/3)/'판정 기준'!$B$7),0)</f>
        <v>91</v>
      </c>
      <c r="AG64" s="24" t="n">
        <f aca="false">ROUND(100*(1-SQRT(((S64-'포지션 정의'!$N$7)^2+(T64-'포지션 정의'!$O$7)^2+(U64-'포지션 정의'!$P$7)^2)/3)/'판정 기준'!$B$7),0)</f>
        <v>85</v>
      </c>
      <c r="AH64" s="24" t="n">
        <f aca="false">ROUND(100*(1-SQRT(((S64-'포지션 정의'!$N$8)^2+(T64-'포지션 정의'!$O$8)^2+(U64-'포지션 정의'!$P$8)^2)/3)/'판정 기준'!$B$7),0)</f>
        <v>80</v>
      </c>
      <c r="AI64" s="24" t="n">
        <f aca="false">ROUND(100*(1-SQRT(((S64-'포지션 정의'!$N$9)^2+(T64-'포지션 정의'!$O$9)^2+(U64-'포지션 정의'!$P$9)^2)/3)/'판정 기준'!$B$7),0)</f>
        <v>85</v>
      </c>
      <c r="AJ64" s="23" t="str">
        <f aca="false">IF(G64&gt;='판정 기준'!$B$8,"경기긴장도, ","")&amp;IF(Q64&gt;='판정 기준'!$B$8,"사회적 도움 활용, ","")&amp;IF(K64&gt;='판정 기준'!$B$8,"경기 준비 능력, ","")&amp;IF(N64&gt;='판정 기준'!$B$8,"실수 후 회복력, ","")&amp;IF(P64&gt;='판정 기준'!$B$8,"자기 통제력, ","")</f>
        <v>사회적 도움 활용, 실수 후 회복력, </v>
      </c>
      <c r="AK64" s="23" t="n">
        <f aca="false">IF(AND(G64&lt;'판정 기준'!$B$8,OR(AJ64&lt;&gt;"",AP64&lt;&gt;"경기긴장도")),G64,0)</f>
        <v>4.5</v>
      </c>
      <c r="AL64" s="23" t="n">
        <f aca="false">IF(AND(Q64&lt;'판정 기준'!$B$8,OR(AJ64&lt;&gt;"",AP64&lt;&gt;"사회적 도움 활용")),Q64,0)</f>
        <v>0</v>
      </c>
      <c r="AM64" s="23" t="n">
        <f aca="false">IF(AND(K64&lt;'판정 기준'!$B$8,OR(AJ64&lt;&gt;"",AP64&lt;&gt;"경기 준비 능력")),K64,0)</f>
        <v>4.1</v>
      </c>
      <c r="AN64" s="23" t="n">
        <f aca="false">IF(AND(N64&lt;'판정 기준'!$B$8,OR(AJ64&lt;&gt;"",AP64&lt;&gt;"실수 후 회복력")),N64,0)</f>
        <v>0</v>
      </c>
      <c r="AO64" s="23" t="n">
        <f aca="false">IF(AND(P64&lt;'판정 기준'!$B$8,OR(AJ64&lt;&gt;"",AP64&lt;&gt;"자기 통제력")),P64,0)</f>
        <v>4</v>
      </c>
      <c r="AP64" s="23" t="str">
        <f aca="false">IF(Q64=MAX(G64,Q64,K64,N64,P64),"사회적 도움 활용",IF(P64=MAX(G64,Q64,K64,N64,P64),"자기 통제력",IF(G64=MAX(G64,Q64,K64,N64,P64),"경기긴장도",IF(K64=MAX(G64,Q64,K64,N64,P64),"경기 준비 능력","실수 후 회복력"))))</f>
        <v>실수 후 회복력</v>
      </c>
    </row>
    <row r="65" customFormat="false" ht="17.15" hidden="false" customHeight="false" outlineLevel="0" collapsed="false">
      <c r="A65" s="13" t="s">
        <v>278</v>
      </c>
      <c r="B65" s="13" t="s">
        <v>187</v>
      </c>
      <c r="C65" s="13" t="s">
        <v>273</v>
      </c>
      <c r="D65" s="14" t="n">
        <v>46175</v>
      </c>
      <c r="E65" s="41" t="s">
        <v>198</v>
      </c>
      <c r="F65" s="42" t="n">
        <v>5</v>
      </c>
      <c r="G65" s="42" t="n">
        <v>4.6</v>
      </c>
      <c r="H65" s="42" t="n">
        <v>4.5</v>
      </c>
      <c r="I65" s="42" t="n">
        <v>4.6</v>
      </c>
      <c r="J65" s="42" t="n">
        <v>4.8</v>
      </c>
      <c r="K65" s="42" t="n">
        <v>5.5</v>
      </c>
      <c r="L65" s="42" t="n">
        <v>5.5</v>
      </c>
      <c r="M65" s="42" t="n">
        <v>5.6</v>
      </c>
      <c r="N65" s="42" t="n">
        <v>5.3</v>
      </c>
      <c r="O65" s="42" t="n">
        <v>5.3</v>
      </c>
      <c r="P65" s="42" t="n">
        <v>4.5</v>
      </c>
      <c r="Q65" s="42" t="n">
        <v>5.2</v>
      </c>
      <c r="R65" s="42" t="n">
        <v>5</v>
      </c>
      <c r="S65" s="37" t="n">
        <f aca="false">AVERAGE(G65:J65)</f>
        <v>4.625</v>
      </c>
      <c r="T65" s="37" t="n">
        <f aca="false">AVERAGE(K65:M65)</f>
        <v>5.53333333333333</v>
      </c>
      <c r="U65" s="37" t="n">
        <f aca="false">AVERAGE(N65:O65)</f>
        <v>5.3</v>
      </c>
      <c r="V65" s="23" t="str">
        <f aca="false">IF(S65&gt;='판정 기준'!$B$3,"H","L")&amp;IF(T65&gt;='판정 기준'!$B$3,"H","L")&amp;IF(U65&gt;='판정 기준'!$B$3,"H","L")</f>
        <v>HHH</v>
      </c>
      <c r="W65" s="36" t="str">
        <f aca="false">INDEX('포지션 정의'!$A$2:$A$9,MATCH(V65,'포지션 정의'!$D$2:$D$9,0))</f>
        <v>H</v>
      </c>
      <c r="X65" s="36" t="str">
        <f aca="false">INDEX('포지션 정의'!$B$2:$B$9,MATCH(V65,'포지션 정의'!$D$2:$D$9,0))</f>
        <v>올라운드 밸런스형</v>
      </c>
      <c r="Y65" s="43" t="str">
        <f aca="false">IF(AJ65="","가장 높은 지표: "&amp;AP65,LEFT(AJ65,LEN(AJ65)-2))</f>
        <v>사회적 도움 활용, 경기 준비 능력, 실수 후 회복력</v>
      </c>
      <c r="Z65" s="43" t="str">
        <f aca="false">IF(MAX(AK65:AO65)=0,"심화: "&amp;IF(N65=MIN(G65,Q65,K65,N65,P65),"실수 후 회복력",IF(K65=MIN(G65,Q65,K65,N65,P65),"경기 준비 능력",IF(G65=MIN(G65,Q65,K65,N65,P65),"경기긴장도",IF(P65=MIN(G65,Q65,K65,N65,P65),"자기 통제력","사회적 도움 활용")))),IF(MAX(AK65:AO65)&gt;='판정 기준'!$B$8-'판정 기준'!$B$4,IF(AN65=MAX(AK65:AO65),"실수 후 회복력",IF(AM65=MAX(AK65:AO65),"경기 준비 능력",IF(AK65=MAX(AK65:AO65),"경기긴장도",IF(AO65=MAX(AK65:AO65),"자기 통제력","사회적 도움 활용")))),IF(AN65&gt;0,"실수 후 회복력",IF(AM65&gt;0,"경기 준비 능력",IF(AK65&gt;0,"경기긴장도",IF(AO65&gt;0,"자기 통제력","사회적 도움 활용"))))))</f>
        <v>경기긴장도</v>
      </c>
      <c r="AA65" s="43" t="str">
        <f aca="false">INDEX('포지션 정의'!$L$2:$L$9,MATCH(V65,'포지션 정의'!$D$2:$D$9,0))</f>
        <v>크리스티아누 호날두 · 루카 모드리치 · 버질 반 다이크</v>
      </c>
      <c r="AB65" s="24" t="n">
        <f aca="false">ROUND(100*(1-SQRT(((S65-'포지션 정의'!$N$2)^2+(T65-'포지션 정의'!$O$2)^2+(U65-'포지션 정의'!$P$2)^2)/3)/'판정 기준'!$B$7),0)</f>
        <v>80</v>
      </c>
      <c r="AC65" s="24" t="n">
        <f aca="false">ROUND(100*(1-SQRT(((S65-'포지션 정의'!$N$3)^2+(T65-'포지션 정의'!$O$3)^2+(U65-'포지션 정의'!$P$3)^2)/3)/'판정 기준'!$B$7),0)</f>
        <v>81</v>
      </c>
      <c r="AD65" s="24" t="n">
        <f aca="false">ROUND(100*(1-SQRT(((S65-'포지션 정의'!$N$4)^2+(T65-'포지션 정의'!$O$4)^2+(U65-'포지션 정의'!$P$4)^2)/3)/'판정 기준'!$B$7),0)</f>
        <v>73</v>
      </c>
      <c r="AE65" s="24" t="n">
        <f aca="false">ROUND(100*(1-SQRT(((S65-'포지션 정의'!$N$5)^2+(T65-'포지션 정의'!$O$5)^2+(U65-'포지션 정의'!$P$5)^2)/3)/'판정 기준'!$B$7),0)</f>
        <v>79</v>
      </c>
      <c r="AF65" s="24" t="n">
        <f aca="false">ROUND(100*(1-SQRT(((S65-'포지션 정의'!$N$6)^2+(T65-'포지션 정의'!$O$6)^2+(U65-'포지션 정의'!$P$6)^2)/3)/'판정 기준'!$B$7),0)</f>
        <v>78</v>
      </c>
      <c r="AG65" s="24" t="n">
        <f aca="false">ROUND(100*(1-SQRT(((S65-'포지션 정의'!$N$7)^2+(T65-'포지션 정의'!$O$7)^2+(U65-'포지션 정의'!$P$7)^2)/3)/'판정 기준'!$B$7),0)</f>
        <v>90</v>
      </c>
      <c r="AH65" s="24" t="n">
        <f aca="false">ROUND(100*(1-SQRT(((S65-'포지션 정의'!$N$8)^2+(T65-'포지션 정의'!$O$8)^2+(U65-'포지션 정의'!$P$8)^2)/3)/'판정 기준'!$B$7),0)</f>
        <v>72</v>
      </c>
      <c r="AI65" s="24" t="n">
        <f aca="false">ROUND(100*(1-SQRT(((S65-'포지션 정의'!$N$9)^2+(T65-'포지션 정의'!$O$9)^2+(U65-'포지션 정의'!$P$9)^2)/3)/'판정 기준'!$B$7),0)</f>
        <v>92</v>
      </c>
      <c r="AJ65" s="23" t="str">
        <f aca="false">IF(G65&gt;='판정 기준'!$B$8,"경기긴장도, ","")&amp;IF(Q65&gt;='판정 기준'!$B$8,"사회적 도움 활용, ","")&amp;IF(K65&gt;='판정 기준'!$B$8,"경기 준비 능력, ","")&amp;IF(N65&gt;='판정 기준'!$B$8,"실수 후 회복력, ","")&amp;IF(P65&gt;='판정 기준'!$B$8,"자기 통제력, ","")</f>
        <v>사회적 도움 활용, 경기 준비 능력, 실수 후 회복력, </v>
      </c>
      <c r="AK65" s="23" t="n">
        <f aca="false">IF(AND(G65&lt;'판정 기준'!$B$8,OR(AJ65&lt;&gt;"",AP65&lt;&gt;"경기긴장도")),G65,0)</f>
        <v>4.6</v>
      </c>
      <c r="AL65" s="23" t="n">
        <f aca="false">IF(AND(Q65&lt;'판정 기준'!$B$8,OR(AJ65&lt;&gt;"",AP65&lt;&gt;"사회적 도움 활용")),Q65,0)</f>
        <v>0</v>
      </c>
      <c r="AM65" s="23" t="n">
        <f aca="false">IF(AND(K65&lt;'판정 기준'!$B$8,OR(AJ65&lt;&gt;"",AP65&lt;&gt;"경기 준비 능력")),K65,0)</f>
        <v>0</v>
      </c>
      <c r="AN65" s="23" t="n">
        <f aca="false">IF(AND(N65&lt;'판정 기준'!$B$8,OR(AJ65&lt;&gt;"",AP65&lt;&gt;"실수 후 회복력")),N65,0)</f>
        <v>0</v>
      </c>
      <c r="AO65" s="23" t="n">
        <f aca="false">IF(AND(P65&lt;'판정 기준'!$B$8,OR(AJ65&lt;&gt;"",AP65&lt;&gt;"자기 통제력")),P65,0)</f>
        <v>4.5</v>
      </c>
      <c r="AP65" s="23" t="str">
        <f aca="false">IF(Q65=MAX(G65,Q65,K65,N65,P65),"사회적 도움 활용",IF(P65=MAX(G65,Q65,K65,N65,P65),"자기 통제력",IF(G65=MAX(G65,Q65,K65,N65,P65),"경기긴장도",IF(K65=MAX(G65,Q65,K65,N65,P65),"경기 준비 능력","실수 후 회복력"))))</f>
        <v>경기 준비 능력</v>
      </c>
    </row>
    <row r="66" customFormat="false" ht="17.15" hidden="false" customHeight="false" outlineLevel="0" collapsed="false">
      <c r="A66" s="13" t="s">
        <v>279</v>
      </c>
      <c r="B66" s="13" t="s">
        <v>187</v>
      </c>
      <c r="C66" s="13" t="s">
        <v>273</v>
      </c>
      <c r="D66" s="14" t="n">
        <v>46175</v>
      </c>
      <c r="E66" s="41" t="s">
        <v>195</v>
      </c>
      <c r="F66" s="42" t="n">
        <v>5.3</v>
      </c>
      <c r="G66" s="42" t="n">
        <v>4.9</v>
      </c>
      <c r="H66" s="42" t="n">
        <v>5</v>
      </c>
      <c r="I66" s="42" t="n">
        <v>5.4</v>
      </c>
      <c r="J66" s="42" t="n">
        <v>4.8</v>
      </c>
      <c r="K66" s="42" t="n">
        <v>5.1</v>
      </c>
      <c r="L66" s="42" t="n">
        <v>5</v>
      </c>
      <c r="M66" s="42" t="n">
        <v>5.1</v>
      </c>
      <c r="N66" s="42" t="n">
        <v>5.7</v>
      </c>
      <c r="O66" s="42" t="n">
        <v>5.7</v>
      </c>
      <c r="P66" s="42" t="n">
        <v>5.7</v>
      </c>
      <c r="Q66" s="42" t="n">
        <v>5.4</v>
      </c>
      <c r="R66" s="42" t="n">
        <v>6</v>
      </c>
      <c r="S66" s="37" t="n">
        <f aca="false">AVERAGE(G66:J66)</f>
        <v>5.025</v>
      </c>
      <c r="T66" s="37" t="n">
        <f aca="false">AVERAGE(K66:M66)</f>
        <v>5.06666666666667</v>
      </c>
      <c r="U66" s="37" t="n">
        <f aca="false">AVERAGE(N66:O66)</f>
        <v>5.7</v>
      </c>
      <c r="V66" s="23" t="str">
        <f aca="false">IF(S66&gt;='판정 기준'!$B$3,"H","L")&amp;IF(T66&gt;='판정 기준'!$B$3,"H","L")&amp;IF(U66&gt;='판정 기준'!$B$3,"H","L")</f>
        <v>HHH</v>
      </c>
      <c r="W66" s="36" t="str">
        <f aca="false">INDEX('포지션 정의'!$A$2:$A$9,MATCH(V66,'포지션 정의'!$D$2:$D$9,0))</f>
        <v>H</v>
      </c>
      <c r="X66" s="36" t="str">
        <f aca="false">INDEX('포지션 정의'!$B$2:$B$9,MATCH(V66,'포지션 정의'!$D$2:$D$9,0))</f>
        <v>올라운드 밸런스형</v>
      </c>
      <c r="Y66" s="43" t="str">
        <f aca="false">IF(AJ66="","가장 높은 지표: "&amp;AP66,LEFT(AJ66,LEN(AJ66)-2))</f>
        <v>경기긴장도, 사회적 도움 활용, 경기 준비 능력, 실수 후 회복력, 자기 통제력</v>
      </c>
      <c r="Z66" s="43" t="str">
        <f aca="false">IF(MAX(AK66:AO66)=0,"심화: "&amp;IF(N66=MIN(G66,Q66,K66,N66,P66),"실수 후 회복력",IF(K66=MIN(G66,Q66,K66,N66,P66),"경기 준비 능력",IF(G66=MIN(G66,Q66,K66,N66,P66),"경기긴장도",IF(P66=MIN(G66,Q66,K66,N66,P66),"자기 통제력","사회적 도움 활용")))),IF(MAX(AK66:AO66)&gt;='판정 기준'!$B$8-'판정 기준'!$B$4,IF(AN66=MAX(AK66:AO66),"실수 후 회복력",IF(AM66=MAX(AK66:AO66),"경기 준비 능력",IF(AK66=MAX(AK66:AO66),"경기긴장도",IF(AO66=MAX(AK66:AO66),"자기 통제력","사회적 도움 활용")))),IF(AN66&gt;0,"실수 후 회복력",IF(AM66&gt;0,"경기 준비 능력",IF(AK66&gt;0,"경기긴장도",IF(AO66&gt;0,"자기 통제력","사회적 도움 활용"))))))</f>
        <v>심화: 경기긴장도</v>
      </c>
      <c r="AA66" s="43" t="str">
        <f aca="false">INDEX('포지션 정의'!$L$2:$L$9,MATCH(V66,'포지션 정의'!$D$2:$D$9,0))</f>
        <v>크리스티아누 호날두 · 루카 모드리치 · 버질 반 다이크</v>
      </c>
      <c r="AB66" s="24" t="n">
        <f aca="false">ROUND(100*(1-SQRT(((S66-'포지션 정의'!$N$2)^2+(T66-'포지션 정의'!$O$2)^2+(U66-'포지션 정의'!$P$2)^2)/3)/'판정 기준'!$B$7),0)</f>
        <v>74</v>
      </c>
      <c r="AC66" s="24" t="n">
        <f aca="false">ROUND(100*(1-SQRT(((S66-'포지션 정의'!$N$3)^2+(T66-'포지션 정의'!$O$3)^2+(U66-'포지션 정의'!$P$3)^2)/3)/'판정 기준'!$B$7),0)</f>
        <v>78</v>
      </c>
      <c r="AD66" s="24" t="n">
        <f aca="false">ROUND(100*(1-SQRT(((S66-'포지션 정의'!$N$4)^2+(T66-'포지션 정의'!$O$4)^2+(U66-'포지션 정의'!$P$4)^2)/3)/'판정 기준'!$B$7),0)</f>
        <v>74</v>
      </c>
      <c r="AE66" s="24" t="n">
        <f aca="false">ROUND(100*(1-SQRT(((S66-'포지션 정의'!$N$5)^2+(T66-'포지션 정의'!$O$5)^2+(U66-'포지션 정의'!$P$5)^2)/3)/'판정 기준'!$B$7),0)</f>
        <v>84</v>
      </c>
      <c r="AF66" s="24" t="n">
        <f aca="false">ROUND(100*(1-SQRT(((S66-'포지션 정의'!$N$6)^2+(T66-'포지션 정의'!$O$6)^2+(U66-'포지션 정의'!$P$6)^2)/3)/'판정 기준'!$B$7),0)</f>
        <v>79</v>
      </c>
      <c r="AG66" s="24" t="n">
        <f aca="false">ROUND(100*(1-SQRT(((S66-'포지션 정의'!$N$7)^2+(T66-'포지션 정의'!$O$7)^2+(U66-'포지션 정의'!$P$7)^2)/3)/'판정 기준'!$B$7),0)</f>
        <v>85</v>
      </c>
      <c r="AH66" s="24" t="n">
        <f aca="false">ROUND(100*(1-SQRT(((S66-'포지션 정의'!$N$8)^2+(T66-'포지션 정의'!$O$8)^2+(U66-'포지션 정의'!$P$8)^2)/3)/'판정 기준'!$B$7),0)</f>
        <v>70</v>
      </c>
      <c r="AI66" s="24" t="n">
        <f aca="false">ROUND(100*(1-SQRT(((S66-'포지션 정의'!$N$9)^2+(T66-'포지션 정의'!$O$9)^2+(U66-'포지션 정의'!$P$9)^2)/3)/'판정 기준'!$B$7),0)</f>
        <v>94</v>
      </c>
      <c r="AJ66" s="23" t="str">
        <f aca="false">IF(G66&gt;='판정 기준'!$B$8,"경기긴장도, ","")&amp;IF(Q66&gt;='판정 기준'!$B$8,"사회적 도움 활용, ","")&amp;IF(K66&gt;='판정 기준'!$B$8,"경기 준비 능력, ","")&amp;IF(N66&gt;='판정 기준'!$B$8,"실수 후 회복력, ","")&amp;IF(P66&gt;='판정 기준'!$B$8,"자기 통제력, ","")</f>
        <v>경기긴장도, 사회적 도움 활용, 경기 준비 능력, 실수 후 회복력, 자기 통제력, </v>
      </c>
      <c r="AK66" s="23" t="n">
        <f aca="false">IF(AND(G66&lt;'판정 기준'!$B$8,OR(AJ66&lt;&gt;"",AP66&lt;&gt;"경기긴장도")),G66,0)</f>
        <v>0</v>
      </c>
      <c r="AL66" s="23" t="n">
        <f aca="false">IF(AND(Q66&lt;'판정 기준'!$B$8,OR(AJ66&lt;&gt;"",AP66&lt;&gt;"사회적 도움 활용")),Q66,0)</f>
        <v>0</v>
      </c>
      <c r="AM66" s="23" t="n">
        <f aca="false">IF(AND(K66&lt;'판정 기준'!$B$8,OR(AJ66&lt;&gt;"",AP66&lt;&gt;"경기 준비 능력")),K66,0)</f>
        <v>0</v>
      </c>
      <c r="AN66" s="23" t="n">
        <f aca="false">IF(AND(N66&lt;'판정 기준'!$B$8,OR(AJ66&lt;&gt;"",AP66&lt;&gt;"실수 후 회복력")),N66,0)</f>
        <v>0</v>
      </c>
      <c r="AO66" s="23" t="n">
        <f aca="false">IF(AND(P66&lt;'판정 기준'!$B$8,OR(AJ66&lt;&gt;"",AP66&lt;&gt;"자기 통제력")),P66,0)</f>
        <v>0</v>
      </c>
      <c r="AP66" s="23" t="str">
        <f aca="false">IF(Q66=MAX(G66,Q66,K66,N66,P66),"사회적 도움 활용",IF(P66=MAX(G66,Q66,K66,N66,P66),"자기 통제력",IF(G66=MAX(G66,Q66,K66,N66,P66),"경기긴장도",IF(K66=MAX(G66,Q66,K66,N66,P66),"경기 준비 능력","실수 후 회복력"))))</f>
        <v>자기 통제력</v>
      </c>
    </row>
    <row r="67" customFormat="false" ht="17.15" hidden="false" customHeight="false" outlineLevel="0" collapsed="false">
      <c r="A67" s="13" t="s">
        <v>280</v>
      </c>
      <c r="B67" s="13" t="s">
        <v>187</v>
      </c>
      <c r="C67" s="13" t="s">
        <v>273</v>
      </c>
      <c r="D67" s="14" t="n">
        <v>46175</v>
      </c>
      <c r="E67" s="41" t="s">
        <v>198</v>
      </c>
      <c r="F67" s="42" t="n">
        <v>3.7</v>
      </c>
      <c r="G67" s="42" t="n">
        <v>3.6</v>
      </c>
      <c r="H67" s="42" t="n">
        <v>4</v>
      </c>
      <c r="I67" s="42" t="n">
        <v>3.8</v>
      </c>
      <c r="J67" s="42" t="n">
        <v>3.7</v>
      </c>
      <c r="K67" s="42" t="n">
        <v>4.5</v>
      </c>
      <c r="L67" s="42" t="n">
        <v>4.7</v>
      </c>
      <c r="M67" s="42" t="n">
        <v>4.3</v>
      </c>
      <c r="N67" s="42" t="n">
        <v>3.1</v>
      </c>
      <c r="O67" s="42" t="n">
        <v>3</v>
      </c>
      <c r="P67" s="42" t="n">
        <v>3.8</v>
      </c>
      <c r="Q67" s="42" t="n">
        <v>4.6</v>
      </c>
      <c r="R67" s="42" t="n">
        <v>5.3</v>
      </c>
      <c r="S67" s="37" t="n">
        <f aca="false">AVERAGE(G67:J67)</f>
        <v>3.775</v>
      </c>
      <c r="T67" s="37" t="n">
        <f aca="false">AVERAGE(K67:M67)</f>
        <v>4.5</v>
      </c>
      <c r="U67" s="37" t="n">
        <f aca="false">AVERAGE(N67:O67)</f>
        <v>3.05</v>
      </c>
      <c r="V67" s="23" t="str">
        <f aca="false">IF(S67&gt;='판정 기준'!$B$3,"H","L")&amp;IF(T67&gt;='판정 기준'!$B$3,"H","L")&amp;IF(U67&gt;='판정 기준'!$B$3,"H","L")</f>
        <v>LHL</v>
      </c>
      <c r="W67" s="36" t="str">
        <f aca="false">INDEX('포지션 정의'!$A$2:$A$9,MATCH(V67,'포지션 정의'!$D$2:$D$9,0))</f>
        <v>A</v>
      </c>
      <c r="X67" s="36" t="str">
        <f aca="false">INDEX('포지션 정의'!$B$2:$B$9,MATCH(V67,'포지션 정의'!$D$2:$D$9,0))</f>
        <v>섬세한 준비형</v>
      </c>
      <c r="Y67" s="43" t="str">
        <f aca="false">IF(AJ67="","가장 높은 지표: "&amp;AP67,LEFT(AJ67,LEN(AJ67)-2))</f>
        <v>가장 높은 지표: 사회적 도움 활용</v>
      </c>
      <c r="Z67" s="43" t="str">
        <f aca="false">IF(MAX(AK67:AO67)=0,"심화: "&amp;IF(N67=MIN(G67,Q67,K67,N67,P67),"실수 후 회복력",IF(K67=MIN(G67,Q67,K67,N67,P67),"경기 준비 능력",IF(G67=MIN(G67,Q67,K67,N67,P67),"경기긴장도",IF(P67=MIN(G67,Q67,K67,N67,P67),"자기 통제력","사회적 도움 활용")))),IF(MAX(AK67:AO67)&gt;='판정 기준'!$B$8-'판정 기준'!$B$4,IF(AN67=MAX(AK67:AO67),"실수 후 회복력",IF(AM67=MAX(AK67:AO67),"경기 준비 능력",IF(AK67=MAX(AK67:AO67),"경기긴장도",IF(AO67=MAX(AK67:AO67),"자기 통제력","사회적 도움 활용")))),IF(AN67&gt;0,"실수 후 회복력",IF(AM67&gt;0,"경기 준비 능력",IF(AK67&gt;0,"경기긴장도",IF(AO67&gt;0,"자기 통제력","사회적 도움 활용"))))))</f>
        <v>경기 준비 능력</v>
      </c>
      <c r="AA67" s="43" t="str">
        <f aca="false">INDEX('포지션 정의'!$L$2:$L$9,MATCH(V67,'포지션 정의'!$D$2:$D$9,0))</f>
        <v>로베르트 레반도프스키 · 제임스 밀너 · 마르틴 외데고르</v>
      </c>
      <c r="AB67" s="24" t="n">
        <f aca="false">ROUND(100*(1-SQRT(((S67-'포지션 정의'!$N$2)^2+(T67-'포지션 정의'!$O$2)^2+(U67-'포지션 정의'!$P$2)^2)/3)/'판정 기준'!$B$7),0)</f>
        <v>88</v>
      </c>
      <c r="AC67" s="24" t="n">
        <f aca="false">ROUND(100*(1-SQRT(((S67-'포지션 정의'!$N$3)^2+(T67-'포지션 정의'!$O$3)^2+(U67-'포지션 정의'!$P$3)^2)/3)/'판정 기준'!$B$7),0)</f>
        <v>80</v>
      </c>
      <c r="AD67" s="24" t="n">
        <f aca="false">ROUND(100*(1-SQRT(((S67-'포지션 정의'!$N$4)^2+(T67-'포지션 정의'!$O$4)^2+(U67-'포지션 정의'!$P$4)^2)/3)/'판정 기준'!$B$7),0)</f>
        <v>80</v>
      </c>
      <c r="AE67" s="24" t="n">
        <f aca="false">ROUND(100*(1-SQRT(((S67-'포지션 정의'!$N$5)^2+(T67-'포지션 정의'!$O$5)^2+(U67-'포지션 정의'!$P$5)^2)/3)/'판정 기준'!$B$7),0)</f>
        <v>69</v>
      </c>
      <c r="AF67" s="24" t="n">
        <f aca="false">ROUND(100*(1-SQRT(((S67-'포지션 정의'!$N$6)^2+(T67-'포지션 정의'!$O$6)^2+(U67-'포지션 정의'!$P$6)^2)/3)/'판정 기준'!$B$7),0)</f>
        <v>74</v>
      </c>
      <c r="AG67" s="24" t="n">
        <f aca="false">ROUND(100*(1-SQRT(((S67-'포지션 정의'!$N$7)^2+(T67-'포지션 정의'!$O$7)^2+(U67-'포지션 정의'!$P$7)^2)/3)/'판정 기준'!$B$7),0)</f>
        <v>74</v>
      </c>
      <c r="AH67" s="24" t="n">
        <f aca="false">ROUND(100*(1-SQRT(((S67-'포지션 정의'!$N$8)^2+(T67-'포지션 정의'!$O$8)^2+(U67-'포지션 정의'!$P$8)^2)/3)/'판정 기준'!$B$7),0)</f>
        <v>88</v>
      </c>
      <c r="AI67" s="24" t="n">
        <f aca="false">ROUND(100*(1-SQRT(((S67-'포지션 정의'!$N$9)^2+(T67-'포지션 정의'!$O$9)^2+(U67-'포지션 정의'!$P$9)^2)/3)/'판정 기준'!$B$7),0)</f>
        <v>69</v>
      </c>
      <c r="AJ67" s="23" t="str">
        <f aca="false">IF(G67&gt;='판정 기준'!$B$8,"경기긴장도, ","")&amp;IF(Q67&gt;='판정 기준'!$B$8,"사회적 도움 활용, ","")&amp;IF(K67&gt;='판정 기준'!$B$8,"경기 준비 능력, ","")&amp;IF(N67&gt;='판정 기준'!$B$8,"실수 후 회복력, ","")&amp;IF(P67&gt;='판정 기준'!$B$8,"자기 통제력, ","")</f>
        <v/>
      </c>
      <c r="AK67" s="23" t="n">
        <f aca="false">IF(AND(G67&lt;'판정 기준'!$B$8,OR(AJ67&lt;&gt;"",AP67&lt;&gt;"경기긴장도")),G67,0)</f>
        <v>3.6</v>
      </c>
      <c r="AL67" s="23" t="n">
        <f aca="false">IF(AND(Q67&lt;'판정 기준'!$B$8,OR(AJ67&lt;&gt;"",AP67&lt;&gt;"사회적 도움 활용")),Q67,0)</f>
        <v>0</v>
      </c>
      <c r="AM67" s="23" t="n">
        <f aca="false">IF(AND(K67&lt;'판정 기준'!$B$8,OR(AJ67&lt;&gt;"",AP67&lt;&gt;"경기 준비 능력")),K67,0)</f>
        <v>4.5</v>
      </c>
      <c r="AN67" s="23" t="n">
        <f aca="false">IF(AND(N67&lt;'판정 기준'!$B$8,OR(AJ67&lt;&gt;"",AP67&lt;&gt;"실수 후 회복력")),N67,0)</f>
        <v>3.1</v>
      </c>
      <c r="AO67" s="23" t="n">
        <f aca="false">IF(AND(P67&lt;'판정 기준'!$B$8,OR(AJ67&lt;&gt;"",AP67&lt;&gt;"자기 통제력")),P67,0)</f>
        <v>3.8</v>
      </c>
      <c r="AP67" s="23" t="str">
        <f aca="false">IF(Q67=MAX(G67,Q67,K67,N67,P67),"사회적 도움 활용",IF(P67=MAX(G67,Q67,K67,N67,P67),"자기 통제력",IF(G67=MAX(G67,Q67,K67,N67,P67),"경기긴장도",IF(K67=MAX(G67,Q67,K67,N67,P67),"경기 준비 능력","실수 후 회복력"))))</f>
        <v>사회적 도움 활용</v>
      </c>
    </row>
    <row r="68" customFormat="false" ht="17.15" hidden="false" customHeight="false" outlineLevel="0" collapsed="false">
      <c r="A68" s="13" t="s">
        <v>281</v>
      </c>
      <c r="B68" s="13" t="s">
        <v>187</v>
      </c>
      <c r="C68" s="13" t="s">
        <v>273</v>
      </c>
      <c r="D68" s="14" t="n">
        <v>46175</v>
      </c>
      <c r="E68" s="41" t="s">
        <v>195</v>
      </c>
      <c r="F68" s="42" t="n">
        <v>3</v>
      </c>
      <c r="G68" s="42" t="n">
        <v>3.3</v>
      </c>
      <c r="H68" s="42" t="n">
        <v>3.3</v>
      </c>
      <c r="I68" s="42" t="n">
        <v>4.4</v>
      </c>
      <c r="J68" s="42" t="n">
        <v>2.8</v>
      </c>
      <c r="K68" s="42" t="n">
        <v>3.5</v>
      </c>
      <c r="L68" s="42" t="n">
        <v>3.5</v>
      </c>
      <c r="M68" s="42" t="n">
        <v>3.4</v>
      </c>
      <c r="N68" s="42" t="n">
        <v>1.7</v>
      </c>
      <c r="O68" s="42" t="n">
        <v>1.5</v>
      </c>
      <c r="P68" s="42" t="n">
        <v>3.7</v>
      </c>
      <c r="Q68" s="42" t="n">
        <v>3.2</v>
      </c>
      <c r="R68" s="42" t="n">
        <v>3</v>
      </c>
      <c r="S68" s="37" t="n">
        <f aca="false">AVERAGE(G68:J68)</f>
        <v>3.45</v>
      </c>
      <c r="T68" s="37" t="n">
        <f aca="false">AVERAGE(K68:M68)</f>
        <v>3.46666666666667</v>
      </c>
      <c r="U68" s="37" t="n">
        <f aca="false">AVERAGE(N68:O68)</f>
        <v>1.6</v>
      </c>
      <c r="V68" s="23" t="str">
        <f aca="false">IF(S68&gt;='판정 기준'!$B$3,"H","L")&amp;IF(T68&gt;='판정 기준'!$B$3,"H","L")&amp;IF(U68&gt;='판정 기준'!$B$3,"H","L")</f>
        <v>LLL</v>
      </c>
      <c r="W68" s="36" t="str">
        <f aca="false">INDEX('포지션 정의'!$A$2:$A$9,MATCH(V68,'포지션 정의'!$D$2:$D$9,0))</f>
        <v>G</v>
      </c>
      <c r="X68" s="36" t="str">
        <f aca="false">INDEX('포지션 정의'!$B$2:$B$9,MATCH(V68,'포지션 정의'!$D$2:$D$9,0))</f>
        <v>스펀지 흡수형</v>
      </c>
      <c r="Y68" s="43" t="str">
        <f aca="false">IF(AJ68="","가장 높은 지표: "&amp;AP68,LEFT(AJ68,LEN(AJ68)-2))</f>
        <v>가장 높은 지표: 자기 통제력</v>
      </c>
      <c r="Z68" s="43" t="str">
        <f aca="false">IF(MAX(AK68:AO68)=0,"심화: "&amp;IF(N68=MIN(G68,Q68,K68,N68,P68),"실수 후 회복력",IF(K68=MIN(G68,Q68,K68,N68,P68),"경기 준비 능력",IF(G68=MIN(G68,Q68,K68,N68,P68),"경기긴장도",IF(P68=MIN(G68,Q68,K68,N68,P68),"자기 통제력","사회적 도움 활용")))),IF(MAX(AK68:AO68)&gt;='판정 기준'!$B$8-'판정 기준'!$B$4,IF(AN68=MAX(AK68:AO68),"실수 후 회복력",IF(AM68=MAX(AK68:AO68),"경기 준비 능력",IF(AK68=MAX(AK68:AO68),"경기긴장도",IF(AO68=MAX(AK68:AO68),"자기 통제력","사회적 도움 활용")))),IF(AN68&gt;0,"실수 후 회복력",IF(AM68&gt;0,"경기 준비 능력",IF(AK68&gt;0,"경기긴장도",IF(AO68&gt;0,"자기 통제력","사회적 도움 활용"))))))</f>
        <v>실수 후 회복력</v>
      </c>
      <c r="AA68" s="43" t="str">
        <f aca="false">INDEX('포지션 정의'!$L$2:$L$9,MATCH(V68,'포지션 정의'!$D$2:$D$9,0))</f>
        <v>디디에 드로그바 · 앙투안 그리즈만 · 모하메드 살라</v>
      </c>
      <c r="AB68" s="24" t="n">
        <f aca="false">ROUND(100*(1-SQRT(((S68-'포지션 정의'!$N$2)^2+(T68-'포지션 정의'!$O$2)^2+(U68-'포지션 정의'!$P$2)^2)/3)/'판정 기준'!$B$7),0)</f>
        <v>67</v>
      </c>
      <c r="AC68" s="24" t="n">
        <f aca="false">ROUND(100*(1-SQRT(((S68-'포지션 정의'!$N$3)^2+(T68-'포지션 정의'!$O$3)^2+(U68-'포지션 정의'!$P$3)^2)/3)/'판정 기준'!$B$7),0)</f>
        <v>62</v>
      </c>
      <c r="AD68" s="24" t="n">
        <f aca="false">ROUND(100*(1-SQRT(((S68-'포지션 정의'!$N$4)^2+(T68-'포지션 정의'!$O$4)^2+(U68-'포지션 정의'!$P$4)^2)/3)/'판정 기준'!$B$7),0)</f>
        <v>67</v>
      </c>
      <c r="AE68" s="24" t="n">
        <f aca="false">ROUND(100*(1-SQRT(((S68-'포지션 정의'!$N$5)^2+(T68-'포지션 정의'!$O$5)^2+(U68-'포지션 정의'!$P$5)^2)/3)/'판정 기준'!$B$7),0)</f>
        <v>54</v>
      </c>
      <c r="AF68" s="24" t="n">
        <f aca="false">ROUND(100*(1-SQRT(((S68-'포지션 정의'!$N$6)^2+(T68-'포지션 정의'!$O$6)^2+(U68-'포지션 정의'!$P$6)^2)/3)/'판정 기준'!$B$7),0)</f>
        <v>58</v>
      </c>
      <c r="AG68" s="24" t="n">
        <f aca="false">ROUND(100*(1-SQRT(((S68-'포지션 정의'!$N$7)^2+(T68-'포지션 정의'!$O$7)^2+(U68-'포지션 정의'!$P$7)^2)/3)/'판정 기준'!$B$7),0)</f>
        <v>54</v>
      </c>
      <c r="AH68" s="24" t="n">
        <f aca="false">ROUND(100*(1-SQRT(((S68-'포지션 정의'!$N$8)^2+(T68-'포지션 정의'!$O$8)^2+(U68-'포지션 정의'!$P$8)^2)/3)/'판정 기준'!$B$7),0)</f>
        <v>74</v>
      </c>
      <c r="AI68" s="24" t="n">
        <f aca="false">ROUND(100*(1-SQRT(((S68-'포지션 정의'!$N$9)^2+(T68-'포지션 정의'!$O$9)^2+(U68-'포지션 정의'!$P$9)^2)/3)/'판정 기준'!$B$7),0)</f>
        <v>50</v>
      </c>
      <c r="AJ68" s="23" t="str">
        <f aca="false">IF(G68&gt;='판정 기준'!$B$8,"경기긴장도, ","")&amp;IF(Q68&gt;='판정 기준'!$B$8,"사회적 도움 활용, ","")&amp;IF(K68&gt;='판정 기준'!$B$8,"경기 준비 능력, ","")&amp;IF(N68&gt;='판정 기준'!$B$8,"실수 후 회복력, ","")&amp;IF(P68&gt;='판정 기준'!$B$8,"자기 통제력, ","")</f>
        <v/>
      </c>
      <c r="AK68" s="23" t="n">
        <f aca="false">IF(AND(G68&lt;'판정 기준'!$B$8,OR(AJ68&lt;&gt;"",AP68&lt;&gt;"경기긴장도")),G68,0)</f>
        <v>3.3</v>
      </c>
      <c r="AL68" s="23" t="n">
        <f aca="false">IF(AND(Q68&lt;'판정 기준'!$B$8,OR(AJ68&lt;&gt;"",AP68&lt;&gt;"사회적 도움 활용")),Q68,0)</f>
        <v>3.2</v>
      </c>
      <c r="AM68" s="23" t="n">
        <f aca="false">IF(AND(K68&lt;'판정 기준'!$B$8,OR(AJ68&lt;&gt;"",AP68&lt;&gt;"경기 준비 능력")),K68,0)</f>
        <v>3.5</v>
      </c>
      <c r="AN68" s="23" t="n">
        <f aca="false">IF(AND(N68&lt;'판정 기준'!$B$8,OR(AJ68&lt;&gt;"",AP68&lt;&gt;"실수 후 회복력")),N68,0)</f>
        <v>1.7</v>
      </c>
      <c r="AO68" s="23" t="n">
        <f aca="false">IF(AND(P68&lt;'판정 기준'!$B$8,OR(AJ68&lt;&gt;"",AP68&lt;&gt;"자기 통제력")),P68,0)</f>
        <v>0</v>
      </c>
      <c r="AP68" s="23" t="str">
        <f aca="false">IF(Q68=MAX(G68,Q68,K68,N68,P68),"사회적 도움 활용",IF(P68=MAX(G68,Q68,K68,N68,P68),"자기 통제력",IF(G68=MAX(G68,Q68,K68,N68,P68),"경기긴장도",IF(K68=MAX(G68,Q68,K68,N68,P68),"경기 준비 능력","실수 후 회복력"))))</f>
        <v>자기 통제력</v>
      </c>
    </row>
    <row r="69" customFormat="false" ht="17.15" hidden="false" customHeight="false" outlineLevel="0" collapsed="false">
      <c r="A69" s="13" t="s">
        <v>282</v>
      </c>
      <c r="B69" s="13" t="s">
        <v>187</v>
      </c>
      <c r="C69" s="13" t="s">
        <v>273</v>
      </c>
      <c r="D69" s="14" t="n">
        <v>46175</v>
      </c>
      <c r="E69" s="41" t="s">
        <v>198</v>
      </c>
      <c r="F69" s="42" t="n">
        <v>4.2</v>
      </c>
      <c r="G69" s="42" t="n">
        <v>3.8</v>
      </c>
      <c r="H69" s="42" t="n">
        <v>3.2</v>
      </c>
      <c r="I69" s="42" t="n">
        <v>5</v>
      </c>
      <c r="J69" s="42" t="n">
        <v>3</v>
      </c>
      <c r="K69" s="42" t="n">
        <v>4.7</v>
      </c>
      <c r="L69" s="42" t="n">
        <v>4.8</v>
      </c>
      <c r="M69" s="42" t="n">
        <v>4.6</v>
      </c>
      <c r="N69" s="42" t="n">
        <v>4.1</v>
      </c>
      <c r="O69" s="42" t="n">
        <v>3.3</v>
      </c>
      <c r="P69" s="42" t="n">
        <v>4</v>
      </c>
      <c r="Q69" s="42" t="n">
        <v>4.6</v>
      </c>
      <c r="R69" s="42" t="n">
        <v>5</v>
      </c>
      <c r="S69" s="37" t="n">
        <f aca="false">AVERAGE(G69:J69)</f>
        <v>3.75</v>
      </c>
      <c r="T69" s="37" t="n">
        <f aca="false">AVERAGE(K69:M69)</f>
        <v>4.7</v>
      </c>
      <c r="U69" s="37" t="n">
        <f aca="false">AVERAGE(N69:O69)</f>
        <v>3.7</v>
      </c>
      <c r="V69" s="23" t="str">
        <f aca="false">IF(S69&gt;='판정 기준'!$B$3,"H","L")&amp;IF(T69&gt;='판정 기준'!$B$3,"H","L")&amp;IF(U69&gt;='판정 기준'!$B$3,"H","L")</f>
        <v>LHL</v>
      </c>
      <c r="W69" s="36" t="str">
        <f aca="false">INDEX('포지션 정의'!$A$2:$A$9,MATCH(V69,'포지션 정의'!$D$2:$D$9,0))</f>
        <v>A</v>
      </c>
      <c r="X69" s="36" t="str">
        <f aca="false">INDEX('포지션 정의'!$B$2:$B$9,MATCH(V69,'포지션 정의'!$D$2:$D$9,0))</f>
        <v>섬세한 준비형</v>
      </c>
      <c r="Y69" s="43" t="str">
        <f aca="false">IF(AJ69="","가장 높은 지표: "&amp;AP69,LEFT(AJ69,LEN(AJ69)-2))</f>
        <v>가장 높은 지표: 경기 준비 능력</v>
      </c>
      <c r="Z69" s="43" t="str">
        <f aca="false">IF(MAX(AK69:AO69)=0,"심화: "&amp;IF(N69=MIN(G69,Q69,K69,N69,P69),"실수 후 회복력",IF(K69=MIN(G69,Q69,K69,N69,P69),"경기 준비 능력",IF(G69=MIN(G69,Q69,K69,N69,P69),"경기긴장도",IF(P69=MIN(G69,Q69,K69,N69,P69),"자기 통제력","사회적 도움 활용")))),IF(MAX(AK69:AO69)&gt;='판정 기준'!$B$8-'판정 기준'!$B$4,IF(AN69=MAX(AK69:AO69),"실수 후 회복력",IF(AM69=MAX(AK69:AO69),"경기 준비 능력",IF(AK69=MAX(AK69:AO69),"경기긴장도",IF(AO69=MAX(AK69:AO69),"자기 통제력","사회적 도움 활용")))),IF(AN69&gt;0,"실수 후 회복력",IF(AM69&gt;0,"경기 준비 능력",IF(AK69&gt;0,"경기긴장도",IF(AO69&gt;0,"자기 통제력","사회적 도움 활용"))))))</f>
        <v>사회적 도움 활용</v>
      </c>
      <c r="AA69" s="43" t="str">
        <f aca="false">INDEX('포지션 정의'!$L$2:$L$9,MATCH(V69,'포지션 정의'!$D$2:$D$9,0))</f>
        <v>로베르트 레반도프스키 · 제임스 밀너 · 마르틴 외데고르</v>
      </c>
      <c r="AB69" s="24" t="n">
        <f aca="false">ROUND(100*(1-SQRT(((S69-'포지션 정의'!$N$2)^2+(T69-'포지션 정의'!$O$2)^2+(U69-'포지션 정의'!$P$2)^2)/3)/'판정 기준'!$B$7),0)</f>
        <v>94</v>
      </c>
      <c r="AC69" s="24" t="n">
        <f aca="false">ROUND(100*(1-SQRT(((S69-'포지션 정의'!$N$3)^2+(T69-'포지션 정의'!$O$3)^2+(U69-'포지션 정의'!$P$3)^2)/3)/'판정 기준'!$B$7),0)</f>
        <v>82</v>
      </c>
      <c r="AD69" s="24" t="n">
        <f aca="false">ROUND(100*(1-SQRT(((S69-'포지션 정의'!$N$4)^2+(T69-'포지션 정의'!$O$4)^2+(U69-'포지션 정의'!$P$4)^2)/3)/'판정 기준'!$B$7),0)</f>
        <v>80</v>
      </c>
      <c r="AE69" s="24" t="n">
        <f aca="false">ROUND(100*(1-SQRT(((S69-'포지션 정의'!$N$5)^2+(T69-'포지션 정의'!$O$5)^2+(U69-'포지션 정의'!$P$5)^2)/3)/'판정 기준'!$B$7),0)</f>
        <v>74</v>
      </c>
      <c r="AF69" s="24" t="n">
        <f aca="false">ROUND(100*(1-SQRT(((S69-'포지션 정의'!$N$6)^2+(T69-'포지션 정의'!$O$6)^2+(U69-'포지션 정의'!$P$6)^2)/3)/'판정 기준'!$B$7),0)</f>
        <v>80</v>
      </c>
      <c r="AG69" s="24" t="n">
        <f aca="false">ROUND(100*(1-SQRT(((S69-'포지션 정의'!$N$7)^2+(T69-'포지션 정의'!$O$7)^2+(U69-'포지션 정의'!$P$7)^2)/3)/'판정 기준'!$B$7),0)</f>
        <v>82</v>
      </c>
      <c r="AH69" s="24" t="n">
        <f aca="false">ROUND(100*(1-SQRT(((S69-'포지션 정의'!$N$8)^2+(T69-'포지션 정의'!$O$8)^2+(U69-'포지션 정의'!$P$8)^2)/3)/'판정 기준'!$B$7),0)</f>
        <v>90</v>
      </c>
      <c r="AI69" s="24" t="n">
        <f aca="false">ROUND(100*(1-SQRT(((S69-'포지션 정의'!$N$9)^2+(T69-'포지션 정의'!$O$9)^2+(U69-'포지션 정의'!$P$9)^2)/3)/'판정 기준'!$B$7),0)</f>
        <v>75</v>
      </c>
      <c r="AJ69" s="23" t="str">
        <f aca="false">IF(G69&gt;='판정 기준'!$B$8,"경기긴장도, ","")&amp;IF(Q69&gt;='판정 기준'!$B$8,"사회적 도움 활용, ","")&amp;IF(K69&gt;='판정 기준'!$B$8,"경기 준비 능력, ","")&amp;IF(N69&gt;='판정 기준'!$B$8,"실수 후 회복력, ","")&amp;IF(P69&gt;='판정 기준'!$B$8,"자기 통제력, ","")</f>
        <v/>
      </c>
      <c r="AK69" s="23" t="n">
        <f aca="false">IF(AND(G69&lt;'판정 기준'!$B$8,OR(AJ69&lt;&gt;"",AP69&lt;&gt;"경기긴장도")),G69,0)</f>
        <v>3.8</v>
      </c>
      <c r="AL69" s="23" t="n">
        <f aca="false">IF(AND(Q69&lt;'판정 기준'!$B$8,OR(AJ69&lt;&gt;"",AP69&lt;&gt;"사회적 도움 활용")),Q69,0)</f>
        <v>4.6</v>
      </c>
      <c r="AM69" s="23" t="n">
        <f aca="false">IF(AND(K69&lt;'판정 기준'!$B$8,OR(AJ69&lt;&gt;"",AP69&lt;&gt;"경기 준비 능력")),K69,0)</f>
        <v>0</v>
      </c>
      <c r="AN69" s="23" t="n">
        <f aca="false">IF(AND(N69&lt;'판정 기준'!$B$8,OR(AJ69&lt;&gt;"",AP69&lt;&gt;"실수 후 회복력")),N69,0)</f>
        <v>4.1</v>
      </c>
      <c r="AO69" s="23" t="n">
        <f aca="false">IF(AND(P69&lt;'판정 기준'!$B$8,OR(AJ69&lt;&gt;"",AP69&lt;&gt;"자기 통제력")),P69,0)</f>
        <v>4</v>
      </c>
      <c r="AP69" s="23" t="str">
        <f aca="false">IF(Q69=MAX(G69,Q69,K69,N69,P69),"사회적 도움 활용",IF(P69=MAX(G69,Q69,K69,N69,P69),"자기 통제력",IF(G69=MAX(G69,Q69,K69,N69,P69),"경기긴장도",IF(K69=MAX(G69,Q69,K69,N69,P69),"경기 준비 능력","실수 후 회복력"))))</f>
        <v>경기 준비 능력</v>
      </c>
    </row>
    <row r="70" customFormat="false" ht="17.15" hidden="false" customHeight="false" outlineLevel="0" collapsed="false">
      <c r="A70" s="13" t="s">
        <v>283</v>
      </c>
      <c r="B70" s="13" t="s">
        <v>187</v>
      </c>
      <c r="C70" s="13" t="s">
        <v>273</v>
      </c>
      <c r="D70" s="14" t="n">
        <v>46175</v>
      </c>
      <c r="E70" s="41" t="s">
        <v>195</v>
      </c>
      <c r="F70" s="42" t="n">
        <v>4.8</v>
      </c>
      <c r="G70" s="42" t="n">
        <v>5.1</v>
      </c>
      <c r="H70" s="42" t="n">
        <v>5.3</v>
      </c>
      <c r="I70" s="42" t="n">
        <v>5.6</v>
      </c>
      <c r="J70" s="42" t="n">
        <v>4.7</v>
      </c>
      <c r="K70" s="42" t="n">
        <v>5.3</v>
      </c>
      <c r="L70" s="42" t="n">
        <v>5.2</v>
      </c>
      <c r="M70" s="42" t="n">
        <v>5.4</v>
      </c>
      <c r="N70" s="42" t="n">
        <v>4.3</v>
      </c>
      <c r="O70" s="42" t="n">
        <v>4.3</v>
      </c>
      <c r="P70" s="42" t="n">
        <v>4.3</v>
      </c>
      <c r="Q70" s="42" t="n">
        <v>5.8</v>
      </c>
      <c r="R70" s="42" t="n">
        <v>6</v>
      </c>
      <c r="S70" s="37" t="n">
        <f aca="false">AVERAGE(G70:J70)</f>
        <v>5.175</v>
      </c>
      <c r="T70" s="37" t="n">
        <f aca="false">AVERAGE(K70:M70)</f>
        <v>5.3</v>
      </c>
      <c r="U70" s="37" t="n">
        <f aca="false">AVERAGE(N70:O70)</f>
        <v>4.3</v>
      </c>
      <c r="V70" s="23" t="str">
        <f aca="false">IF(S70&gt;='판정 기준'!$B$3,"H","L")&amp;IF(T70&gt;='판정 기준'!$B$3,"H","L")&amp;IF(U70&gt;='판정 기준'!$B$3,"H","L")</f>
        <v>HHL</v>
      </c>
      <c r="W70" s="36" t="str">
        <f aca="false">INDEX('포지션 정의'!$A$2:$A$9,MATCH(V70,'포지션 정의'!$D$2:$D$9,0))</f>
        <v>B</v>
      </c>
      <c r="X70" s="36" t="str">
        <f aca="false">INDEX('포지션 정의'!$B$2:$B$9,MATCH(V70,'포지션 정의'!$D$2:$D$9,0))</f>
        <v>책임감 설계자형</v>
      </c>
      <c r="Y70" s="43" t="str">
        <f aca="false">IF(AJ70="","가장 높은 지표: "&amp;AP70,LEFT(AJ70,LEN(AJ70)-2))</f>
        <v>경기긴장도, 사회적 도움 활용, 경기 준비 능력</v>
      </c>
      <c r="Z70" s="43" t="str">
        <f aca="false">IF(MAX(AK70:AO70)=0,"심화: "&amp;IF(N70=MIN(G70,Q70,K70,N70,P70),"실수 후 회복력",IF(K70=MIN(G70,Q70,K70,N70,P70),"경기 준비 능력",IF(G70=MIN(G70,Q70,K70,N70,P70),"경기긴장도",IF(P70=MIN(G70,Q70,K70,N70,P70),"자기 통제력","사회적 도움 활용")))),IF(MAX(AK70:AO70)&gt;='판정 기준'!$B$8-'판정 기준'!$B$4,IF(AN70=MAX(AK70:AO70),"실수 후 회복력",IF(AM70=MAX(AK70:AO70),"경기 준비 능력",IF(AK70=MAX(AK70:AO70),"경기긴장도",IF(AO70=MAX(AK70:AO70),"자기 통제력","사회적 도움 활용")))),IF(AN70&gt;0,"실수 후 회복력",IF(AM70&gt;0,"경기 준비 능력",IF(AK70&gt;0,"경기긴장도",IF(AO70&gt;0,"자기 통제력","사회적 도움 활용"))))))</f>
        <v>실수 후 회복력</v>
      </c>
      <c r="AA70" s="43" t="str">
        <f aca="false">INDEX('포지션 정의'!$L$2:$L$9,MATCH(V70,'포지션 정의'!$D$2:$D$9,0))</f>
        <v>해리 케인 · 토니 크로스 · 필립 람</v>
      </c>
      <c r="AB70" s="24" t="n">
        <f aca="false">ROUND(100*(1-SQRT(((S70-'포지션 정의'!$N$2)^2+(T70-'포지션 정의'!$O$2)^2+(U70-'포지션 정의'!$P$2)^2)/3)/'판정 기준'!$B$7),0)</f>
        <v>83</v>
      </c>
      <c r="AC70" s="24" t="n">
        <f aca="false">ROUND(100*(1-SQRT(((S70-'포지션 정의'!$N$3)^2+(T70-'포지션 정의'!$O$3)^2+(U70-'포지션 정의'!$P$3)^2)/3)/'판정 기준'!$B$7),0)</f>
        <v>94</v>
      </c>
      <c r="AD70" s="24" t="n">
        <f aca="false">ROUND(100*(1-SQRT(((S70-'포지션 정의'!$N$4)^2+(T70-'포지션 정의'!$O$4)^2+(U70-'포지션 정의'!$P$4)^2)/3)/'판정 기준'!$B$7),0)</f>
        <v>82</v>
      </c>
      <c r="AE70" s="24" t="n">
        <f aca="false">ROUND(100*(1-SQRT(((S70-'포지션 정의'!$N$5)^2+(T70-'포지션 정의'!$O$5)^2+(U70-'포지션 정의'!$P$5)^2)/3)/'판정 기준'!$B$7),0)</f>
        <v>80</v>
      </c>
      <c r="AF70" s="24" t="n">
        <f aca="false">ROUND(100*(1-SQRT(((S70-'포지션 정의'!$N$6)^2+(T70-'포지션 정의'!$O$6)^2+(U70-'포지션 정의'!$P$6)^2)/3)/'판정 기준'!$B$7),0)</f>
        <v>74</v>
      </c>
      <c r="AG70" s="24" t="n">
        <f aca="false">ROUND(100*(1-SQRT(((S70-'포지션 정의'!$N$7)^2+(T70-'포지션 정의'!$O$7)^2+(U70-'포지션 정의'!$P$7)^2)/3)/'판정 기준'!$B$7),0)</f>
        <v>81</v>
      </c>
      <c r="AH70" s="24" t="n">
        <f aca="false">ROUND(100*(1-SQRT(((S70-'포지션 정의'!$N$8)^2+(T70-'포지션 정의'!$O$8)^2+(U70-'포지션 정의'!$P$8)^2)/3)/'판정 기준'!$B$7),0)</f>
        <v>76</v>
      </c>
      <c r="AI70" s="24" t="n">
        <f aca="false">ROUND(100*(1-SQRT(((S70-'포지션 정의'!$N$9)^2+(T70-'포지션 정의'!$O$9)^2+(U70-'포지션 정의'!$P$9)^2)/3)/'판정 기준'!$B$7),0)</f>
        <v>90</v>
      </c>
      <c r="AJ70" s="23" t="str">
        <f aca="false">IF(G70&gt;='판정 기준'!$B$8,"경기긴장도, ","")&amp;IF(Q70&gt;='판정 기준'!$B$8,"사회적 도움 활용, ","")&amp;IF(K70&gt;='판정 기준'!$B$8,"경기 준비 능력, ","")&amp;IF(N70&gt;='판정 기준'!$B$8,"실수 후 회복력, ","")&amp;IF(P70&gt;='판정 기준'!$B$8,"자기 통제력, ","")</f>
        <v>경기긴장도, 사회적 도움 활용, 경기 준비 능력, </v>
      </c>
      <c r="AK70" s="23" t="n">
        <f aca="false">IF(AND(G70&lt;'판정 기준'!$B$8,OR(AJ70&lt;&gt;"",AP70&lt;&gt;"경기긴장도")),G70,0)</f>
        <v>0</v>
      </c>
      <c r="AL70" s="23" t="n">
        <f aca="false">IF(AND(Q70&lt;'판정 기준'!$B$8,OR(AJ70&lt;&gt;"",AP70&lt;&gt;"사회적 도움 활용")),Q70,0)</f>
        <v>0</v>
      </c>
      <c r="AM70" s="23" t="n">
        <f aca="false">IF(AND(K70&lt;'판정 기준'!$B$8,OR(AJ70&lt;&gt;"",AP70&lt;&gt;"경기 준비 능력")),K70,0)</f>
        <v>0</v>
      </c>
      <c r="AN70" s="23" t="n">
        <f aca="false">IF(AND(N70&lt;'판정 기준'!$B$8,OR(AJ70&lt;&gt;"",AP70&lt;&gt;"실수 후 회복력")),N70,0)</f>
        <v>4.3</v>
      </c>
      <c r="AO70" s="23" t="n">
        <f aca="false">IF(AND(P70&lt;'판정 기준'!$B$8,OR(AJ70&lt;&gt;"",AP70&lt;&gt;"자기 통제력")),P70,0)</f>
        <v>4.3</v>
      </c>
      <c r="AP70" s="23" t="str">
        <f aca="false">IF(Q70=MAX(G70,Q70,K70,N70,P70),"사회적 도움 활용",IF(P70=MAX(G70,Q70,K70,N70,P70),"자기 통제력",IF(G70=MAX(G70,Q70,K70,N70,P70),"경기긴장도",IF(K70=MAX(G70,Q70,K70,N70,P70),"경기 준비 능력","실수 후 회복력"))))</f>
        <v>사회적 도움 활용</v>
      </c>
    </row>
    <row r="71" customFormat="false" ht="17.15" hidden="false" customHeight="false" outlineLevel="0" collapsed="false">
      <c r="A71" s="13" t="s">
        <v>284</v>
      </c>
      <c r="B71" s="13" t="s">
        <v>187</v>
      </c>
      <c r="C71" s="13" t="s">
        <v>273</v>
      </c>
      <c r="D71" s="14" t="n">
        <v>46175</v>
      </c>
      <c r="E71" s="41" t="s">
        <v>195</v>
      </c>
      <c r="F71" s="42" t="n">
        <v>5.6</v>
      </c>
      <c r="G71" s="42" t="n">
        <v>6</v>
      </c>
      <c r="H71" s="42" t="n">
        <v>6</v>
      </c>
      <c r="I71" s="42" t="n">
        <v>6</v>
      </c>
      <c r="J71" s="42" t="n">
        <v>6</v>
      </c>
      <c r="K71" s="42" t="n">
        <v>5.9</v>
      </c>
      <c r="L71" s="42" t="n">
        <v>5.8</v>
      </c>
      <c r="M71" s="42" t="n">
        <v>6</v>
      </c>
      <c r="N71" s="42" t="n">
        <v>5</v>
      </c>
      <c r="O71" s="42" t="n">
        <v>5.8</v>
      </c>
      <c r="P71" s="42" t="n">
        <v>5.8</v>
      </c>
      <c r="Q71" s="42" t="n">
        <v>6</v>
      </c>
      <c r="R71" s="42" t="n">
        <v>6</v>
      </c>
      <c r="S71" s="37" t="n">
        <f aca="false">AVERAGE(G71:J71)</f>
        <v>6</v>
      </c>
      <c r="T71" s="37" t="n">
        <f aca="false">AVERAGE(K71:M71)</f>
        <v>5.9</v>
      </c>
      <c r="U71" s="37" t="n">
        <f aca="false">AVERAGE(N71:O71)</f>
        <v>5.4</v>
      </c>
      <c r="V71" s="23" t="str">
        <f aca="false">IF(S71&gt;='판정 기준'!$B$3,"H","L")&amp;IF(T71&gt;='판정 기준'!$B$3,"H","L")&amp;IF(U71&gt;='판정 기준'!$B$3,"H","L")</f>
        <v>HHH</v>
      </c>
      <c r="W71" s="36" t="str">
        <f aca="false">INDEX('포지션 정의'!$A$2:$A$9,MATCH(V71,'포지션 정의'!$D$2:$D$9,0))</f>
        <v>H</v>
      </c>
      <c r="X71" s="36" t="str">
        <f aca="false">INDEX('포지션 정의'!$B$2:$B$9,MATCH(V71,'포지션 정의'!$D$2:$D$9,0))</f>
        <v>올라운드 밸런스형</v>
      </c>
      <c r="Y71" s="43" t="str">
        <f aca="false">IF(AJ71="","가장 높은 지표: "&amp;AP71,LEFT(AJ71,LEN(AJ71)-2))</f>
        <v>경기긴장도, 사회적 도움 활용, 경기 준비 능력, 실수 후 회복력, 자기 통제력</v>
      </c>
      <c r="Z71" s="43" t="str">
        <f aca="false">IF(MAX(AK71:AO71)=0,"심화: "&amp;IF(N71=MIN(G71,Q71,K71,N71,P71),"실수 후 회복력",IF(K71=MIN(G71,Q71,K71,N71,P71),"경기 준비 능력",IF(G71=MIN(G71,Q71,K71,N71,P71),"경기긴장도",IF(P71=MIN(G71,Q71,K71,N71,P71),"자기 통제력","사회적 도움 활용")))),IF(MAX(AK71:AO71)&gt;='판정 기준'!$B$8-'판정 기준'!$B$4,IF(AN71=MAX(AK71:AO71),"실수 후 회복력",IF(AM71=MAX(AK71:AO71),"경기 준비 능력",IF(AK71=MAX(AK71:AO71),"경기긴장도",IF(AO71=MAX(AK71:AO71),"자기 통제력","사회적 도움 활용")))),IF(AN71&gt;0,"실수 후 회복력",IF(AM71&gt;0,"경기 준비 능력",IF(AK71&gt;0,"경기긴장도",IF(AO71&gt;0,"자기 통제력","사회적 도움 활용"))))))</f>
        <v>심화: 실수 후 회복력</v>
      </c>
      <c r="AA71" s="43" t="str">
        <f aca="false">INDEX('포지션 정의'!$L$2:$L$9,MATCH(V71,'포지션 정의'!$D$2:$D$9,0))</f>
        <v>크리스티아누 호날두 · 루카 모드리치 · 버질 반 다이크</v>
      </c>
      <c r="AB71" s="24" t="n">
        <f aca="false">ROUND(100*(1-SQRT(((S71-'포지션 정의'!$N$2)^2+(T71-'포지션 정의'!$O$2)^2+(U71-'포지션 정의'!$P$2)^2)/3)/'판정 기준'!$B$7),0)</f>
        <v>68</v>
      </c>
      <c r="AC71" s="24" t="n">
        <f aca="false">ROUND(100*(1-SQRT(((S71-'포지션 정의'!$N$3)^2+(T71-'포지션 정의'!$O$3)^2+(U71-'포지션 정의'!$P$3)^2)/3)/'판정 기준'!$B$7),0)</f>
        <v>78</v>
      </c>
      <c r="AD71" s="24" t="n">
        <f aca="false">ROUND(100*(1-SQRT(((S71-'포지션 정의'!$N$4)^2+(T71-'포지션 정의'!$O$4)^2+(U71-'포지션 정의'!$P$4)^2)/3)/'판정 기준'!$B$7),0)</f>
        <v>68</v>
      </c>
      <c r="AE71" s="24" t="n">
        <f aca="false">ROUND(100*(1-SQRT(((S71-'포지션 정의'!$N$5)^2+(T71-'포지션 정의'!$O$5)^2+(U71-'포지션 정의'!$P$5)^2)/3)/'판정 기준'!$B$7),0)</f>
        <v>74</v>
      </c>
      <c r="AF71" s="24" t="n">
        <f aca="false">ROUND(100*(1-SQRT(((S71-'포지션 정의'!$N$6)^2+(T71-'포지션 정의'!$O$6)^2+(U71-'포지션 정의'!$P$6)^2)/3)/'판정 기준'!$B$7),0)</f>
        <v>65</v>
      </c>
      <c r="AG71" s="24" t="n">
        <f aca="false">ROUND(100*(1-SQRT(((S71-'포지션 정의'!$N$7)^2+(T71-'포지션 정의'!$O$7)^2+(U71-'포지션 정의'!$P$7)^2)/3)/'판정 기준'!$B$7),0)</f>
        <v>73</v>
      </c>
      <c r="AH71" s="24" t="n">
        <f aca="false">ROUND(100*(1-SQRT(((S71-'포지션 정의'!$N$8)^2+(T71-'포지션 정의'!$O$8)^2+(U71-'포지션 정의'!$P$8)^2)/3)/'판정 기준'!$B$7),0)</f>
        <v>60</v>
      </c>
      <c r="AI71" s="24" t="n">
        <f aca="false">ROUND(100*(1-SQRT(((S71-'포지션 정의'!$N$9)^2+(T71-'포지션 정의'!$O$9)^2+(U71-'포지션 정의'!$P$9)^2)/3)/'판정 기준'!$B$7),0)</f>
        <v>88</v>
      </c>
      <c r="AJ71" s="23" t="str">
        <f aca="false">IF(G71&gt;='판정 기준'!$B$8,"경기긴장도, ","")&amp;IF(Q71&gt;='판정 기준'!$B$8,"사회적 도움 활용, ","")&amp;IF(K71&gt;='판정 기준'!$B$8,"경기 준비 능력, ","")&amp;IF(N71&gt;='판정 기준'!$B$8,"실수 후 회복력, ","")&amp;IF(P71&gt;='판정 기준'!$B$8,"자기 통제력, ","")</f>
        <v>경기긴장도, 사회적 도움 활용, 경기 준비 능력, 실수 후 회복력, 자기 통제력, </v>
      </c>
      <c r="AK71" s="23" t="n">
        <f aca="false">IF(AND(G71&lt;'판정 기준'!$B$8,OR(AJ71&lt;&gt;"",AP71&lt;&gt;"경기긴장도")),G71,0)</f>
        <v>0</v>
      </c>
      <c r="AL71" s="23" t="n">
        <f aca="false">IF(AND(Q71&lt;'판정 기준'!$B$8,OR(AJ71&lt;&gt;"",AP71&lt;&gt;"사회적 도움 활용")),Q71,0)</f>
        <v>0</v>
      </c>
      <c r="AM71" s="23" t="n">
        <f aca="false">IF(AND(K71&lt;'판정 기준'!$B$8,OR(AJ71&lt;&gt;"",AP71&lt;&gt;"경기 준비 능력")),K71,0)</f>
        <v>0</v>
      </c>
      <c r="AN71" s="23" t="n">
        <f aca="false">IF(AND(N71&lt;'판정 기준'!$B$8,OR(AJ71&lt;&gt;"",AP71&lt;&gt;"실수 후 회복력")),N71,0)</f>
        <v>0</v>
      </c>
      <c r="AO71" s="23" t="n">
        <f aca="false">IF(AND(P71&lt;'판정 기준'!$B$8,OR(AJ71&lt;&gt;"",AP71&lt;&gt;"자기 통제력")),P71,0)</f>
        <v>0</v>
      </c>
      <c r="AP71" s="23" t="str">
        <f aca="false">IF(Q71=MAX(G71,Q71,K71,N71,P71),"사회적 도움 활용",IF(P71=MAX(G71,Q71,K71,N71,P71),"자기 통제력",IF(G71=MAX(G71,Q71,K71,N71,P71),"경기긴장도",IF(K71=MAX(G71,Q71,K71,N71,P71),"경기 준비 능력","실수 후 회복력"))))</f>
        <v>사회적 도움 활용</v>
      </c>
    </row>
    <row r="72" customFormat="false" ht="17.15" hidden="false" customHeight="false" outlineLevel="0" collapsed="false">
      <c r="A72" s="13" t="s">
        <v>285</v>
      </c>
      <c r="B72" s="13" t="s">
        <v>187</v>
      </c>
      <c r="C72" s="13" t="s">
        <v>273</v>
      </c>
      <c r="D72" s="14" t="n">
        <v>46175</v>
      </c>
      <c r="E72" s="41" t="s">
        <v>195</v>
      </c>
      <c r="F72" s="42" t="n">
        <v>4.4</v>
      </c>
      <c r="G72" s="42" t="n">
        <v>3.4</v>
      </c>
      <c r="H72" s="42" t="n">
        <v>3.3</v>
      </c>
      <c r="I72" s="42" t="n">
        <v>4.2</v>
      </c>
      <c r="J72" s="42" t="n">
        <v>3.5</v>
      </c>
      <c r="K72" s="42" t="n">
        <v>4.8</v>
      </c>
      <c r="L72" s="42" t="n">
        <v>5.2</v>
      </c>
      <c r="M72" s="42" t="n">
        <v>4.6</v>
      </c>
      <c r="N72" s="42" t="n">
        <v>4.9</v>
      </c>
      <c r="O72" s="42" t="n">
        <v>4.8</v>
      </c>
      <c r="P72" s="42" t="n">
        <v>4.3</v>
      </c>
      <c r="Q72" s="42" t="n">
        <v>4.6</v>
      </c>
      <c r="R72" s="42" t="n">
        <v>5.3</v>
      </c>
      <c r="S72" s="37" t="n">
        <f aca="false">AVERAGE(G72:J72)</f>
        <v>3.6</v>
      </c>
      <c r="T72" s="37" t="n">
        <f aca="false">AVERAGE(K72:M72)</f>
        <v>4.86666666666667</v>
      </c>
      <c r="U72" s="37" t="n">
        <f aca="false">AVERAGE(N72:O72)</f>
        <v>4.85</v>
      </c>
      <c r="V72" s="23" t="str">
        <f aca="false">IF(S72&gt;='판정 기준'!$B$3,"H","L")&amp;IF(T72&gt;='판정 기준'!$B$3,"H","L")&amp;IF(U72&gt;='판정 기준'!$B$3,"H","L")</f>
        <v>LHH</v>
      </c>
      <c r="W72" s="36" t="str">
        <f aca="false">INDEX('포지션 정의'!$A$2:$A$9,MATCH(V72,'포지션 정의'!$D$2:$D$9,0))</f>
        <v>F</v>
      </c>
      <c r="X72" s="36" t="str">
        <f aca="false">INDEX('포지션 정의'!$B$2:$B$9,MATCH(V72,'포지션 정의'!$D$2:$D$9,0))</f>
        <v>성실한 도전자형</v>
      </c>
      <c r="Y72" s="43" t="str">
        <f aca="false">IF(AJ72="","가장 높은 지표: "&amp;AP72,LEFT(AJ72,LEN(AJ72)-2))</f>
        <v>경기 준비 능력, 실수 후 회복력</v>
      </c>
      <c r="Z72" s="43" t="str">
        <f aca="false">IF(MAX(AK72:AO72)=0,"심화: "&amp;IF(N72=MIN(G72,Q72,K72,N72,P72),"실수 후 회복력",IF(K72=MIN(G72,Q72,K72,N72,P72),"경기 준비 능력",IF(G72=MIN(G72,Q72,K72,N72,P72),"경기긴장도",IF(P72=MIN(G72,Q72,K72,N72,P72),"자기 통제력","사회적 도움 활용")))),IF(MAX(AK72:AO72)&gt;='판정 기준'!$B$8-'판정 기준'!$B$4,IF(AN72=MAX(AK72:AO72),"실수 후 회복력",IF(AM72=MAX(AK72:AO72),"경기 준비 능력",IF(AK72=MAX(AK72:AO72),"경기긴장도",IF(AO72=MAX(AK72:AO72),"자기 통제력","사회적 도움 활용")))),IF(AN72&gt;0,"실수 후 회복력",IF(AM72&gt;0,"경기 준비 능력",IF(AK72&gt;0,"경기긴장도",IF(AO72&gt;0,"자기 통제력","사회적 도움 활용"))))))</f>
        <v>사회적 도움 활용</v>
      </c>
      <c r="AA72" s="43" t="str">
        <f aca="false">INDEX('포지션 정의'!$L$2:$L$9,MATCH(V72,'포지션 정의'!$D$2:$D$9,0))</f>
        <v>제이미 바디 · 은골로 캉테 · 박지성</v>
      </c>
      <c r="AB72" s="24" t="n">
        <f aca="false">ROUND(100*(1-SQRT(((S72-'포지션 정의'!$N$2)^2+(T72-'포지션 정의'!$O$2)^2+(U72-'포지션 정의'!$P$2)^2)/3)/'판정 기준'!$B$7),0)</f>
        <v>87</v>
      </c>
      <c r="AC72" s="24" t="n">
        <f aca="false">ROUND(100*(1-SQRT(((S72-'포지션 정의'!$N$3)^2+(T72-'포지션 정의'!$O$3)^2+(U72-'포지션 정의'!$P$3)^2)/3)/'판정 기준'!$B$7),0)</f>
        <v>78</v>
      </c>
      <c r="AD72" s="24" t="n">
        <f aca="false">ROUND(100*(1-SQRT(((S72-'포지션 정의'!$N$4)^2+(T72-'포지션 정의'!$O$4)^2+(U72-'포지션 정의'!$P$4)^2)/3)/'판정 기준'!$B$7),0)</f>
        <v>75</v>
      </c>
      <c r="AE72" s="24" t="n">
        <f aca="false">ROUND(100*(1-SQRT(((S72-'포지션 정의'!$N$5)^2+(T72-'포지션 정의'!$O$5)^2+(U72-'포지션 정의'!$P$5)^2)/3)/'판정 기준'!$B$7),0)</f>
        <v>77</v>
      </c>
      <c r="AF72" s="24" t="n">
        <f aca="false">ROUND(100*(1-SQRT(((S72-'포지션 정의'!$N$6)^2+(T72-'포지션 정의'!$O$6)^2+(U72-'포지션 정의'!$P$6)^2)/3)/'판정 기준'!$B$7),0)</f>
        <v>87</v>
      </c>
      <c r="AG72" s="24" t="n">
        <f aca="false">ROUND(100*(1-SQRT(((S72-'포지션 정의'!$N$7)^2+(T72-'포지션 정의'!$O$7)^2+(U72-'포지션 정의'!$P$7)^2)/3)/'판정 기준'!$B$7),0)</f>
        <v>94</v>
      </c>
      <c r="AH72" s="24" t="n">
        <f aca="false">ROUND(100*(1-SQRT(((S72-'포지션 정의'!$N$8)^2+(T72-'포지션 정의'!$O$8)^2+(U72-'포지션 정의'!$P$8)^2)/3)/'판정 기준'!$B$7),0)</f>
        <v>83</v>
      </c>
      <c r="AI72" s="24" t="n">
        <f aca="false">ROUND(100*(1-SQRT(((S72-'포지션 정의'!$N$9)^2+(T72-'포지션 정의'!$O$9)^2+(U72-'포지션 정의'!$P$9)^2)/3)/'판정 기준'!$B$7),0)</f>
        <v>81</v>
      </c>
      <c r="AJ72" s="23" t="str">
        <f aca="false">IF(G72&gt;='판정 기준'!$B$8,"경기긴장도, ","")&amp;IF(Q72&gt;='판정 기준'!$B$8,"사회적 도움 활용, ","")&amp;IF(K72&gt;='판정 기준'!$B$8,"경기 준비 능력, ","")&amp;IF(N72&gt;='판정 기준'!$B$8,"실수 후 회복력, ","")&amp;IF(P72&gt;='판정 기준'!$B$8,"자기 통제력, ","")</f>
        <v>경기 준비 능력, 실수 후 회복력, </v>
      </c>
      <c r="AK72" s="23" t="n">
        <f aca="false">IF(AND(G72&lt;'판정 기준'!$B$8,OR(AJ72&lt;&gt;"",AP72&lt;&gt;"경기긴장도")),G72,0)</f>
        <v>3.4</v>
      </c>
      <c r="AL72" s="23" t="n">
        <f aca="false">IF(AND(Q72&lt;'판정 기준'!$B$8,OR(AJ72&lt;&gt;"",AP72&lt;&gt;"사회적 도움 활용")),Q72,0)</f>
        <v>4.6</v>
      </c>
      <c r="AM72" s="23" t="n">
        <f aca="false">IF(AND(K72&lt;'판정 기준'!$B$8,OR(AJ72&lt;&gt;"",AP72&lt;&gt;"경기 준비 능력")),K72,0)</f>
        <v>0</v>
      </c>
      <c r="AN72" s="23" t="n">
        <f aca="false">IF(AND(N72&lt;'판정 기준'!$B$8,OR(AJ72&lt;&gt;"",AP72&lt;&gt;"실수 후 회복력")),N72,0)</f>
        <v>0</v>
      </c>
      <c r="AO72" s="23" t="n">
        <f aca="false">IF(AND(P72&lt;'판정 기준'!$B$8,OR(AJ72&lt;&gt;"",AP72&lt;&gt;"자기 통제력")),P72,0)</f>
        <v>4.3</v>
      </c>
      <c r="AP72" s="23" t="str">
        <f aca="false">IF(Q72=MAX(G72,Q72,K72,N72,P72),"사회적 도움 활용",IF(P72=MAX(G72,Q72,K72,N72,P72),"자기 통제력",IF(G72=MAX(G72,Q72,K72,N72,P72),"경기긴장도",IF(K72=MAX(G72,Q72,K72,N72,P72),"경기 준비 능력","실수 후 회복력"))))</f>
        <v>실수 후 회복력</v>
      </c>
    </row>
    <row r="73" customFormat="false" ht="17.15" hidden="false" customHeight="false" outlineLevel="0" collapsed="false">
      <c r="A73" s="13" t="s">
        <v>269</v>
      </c>
      <c r="B73" s="13" t="s">
        <v>187</v>
      </c>
      <c r="C73" s="13" t="s">
        <v>273</v>
      </c>
      <c r="D73" s="14" t="n">
        <v>46175</v>
      </c>
      <c r="E73" s="41" t="s">
        <v>195</v>
      </c>
      <c r="F73" s="42" t="n">
        <v>4.7</v>
      </c>
      <c r="G73" s="42" t="n">
        <v>4.3</v>
      </c>
      <c r="H73" s="42" t="n">
        <v>4.5</v>
      </c>
      <c r="I73" s="42" t="n">
        <v>4.4</v>
      </c>
      <c r="J73" s="42" t="n">
        <v>4</v>
      </c>
      <c r="K73" s="42" t="n">
        <v>4.2</v>
      </c>
      <c r="L73" s="42" t="n">
        <v>4</v>
      </c>
      <c r="M73" s="42" t="n">
        <v>4.3</v>
      </c>
      <c r="N73" s="42" t="n">
        <v>5.3</v>
      </c>
      <c r="O73" s="42" t="n">
        <v>5.2</v>
      </c>
      <c r="P73" s="42" t="n">
        <v>4.8</v>
      </c>
      <c r="Q73" s="42" t="n">
        <v>5.4</v>
      </c>
      <c r="R73" s="42" t="n">
        <v>5.3</v>
      </c>
      <c r="S73" s="37" t="n">
        <f aca="false">AVERAGE(G73:J73)</f>
        <v>4.3</v>
      </c>
      <c r="T73" s="37" t="n">
        <f aca="false">AVERAGE(K73:M73)</f>
        <v>4.16666666666667</v>
      </c>
      <c r="U73" s="37" t="n">
        <f aca="false">AVERAGE(N73:O73)</f>
        <v>5.25</v>
      </c>
      <c r="V73" s="23" t="str">
        <f aca="false">IF(S73&gt;='판정 기준'!$B$3,"H","L")&amp;IF(T73&gt;='판정 기준'!$B$3,"H","L")&amp;IF(U73&gt;='판정 기준'!$B$3,"H","L")</f>
        <v>LLH</v>
      </c>
      <c r="W73" s="36" t="str">
        <f aca="false">INDEX('포지션 정의'!$A$2:$A$9,MATCH(V73,'포지션 정의'!$D$2:$D$9,0))</f>
        <v>E</v>
      </c>
      <c r="X73" s="36" t="str">
        <f aca="false">INDEX('포지션 정의'!$B$2:$B$9,MATCH(V73,'포지션 정의'!$D$2:$D$9,0))</f>
        <v>오뚝이 회복형</v>
      </c>
      <c r="Y73" s="43" t="str">
        <f aca="false">IF(AJ73="","가장 높은 지표: "&amp;AP73,LEFT(AJ73,LEN(AJ73)-2))</f>
        <v>사회적 도움 활용, 실수 후 회복력, 자기 통제력</v>
      </c>
      <c r="Z73" s="43" t="str">
        <f aca="false">IF(MAX(AK73:AO73)=0,"심화: "&amp;IF(N73=MIN(G73,Q73,K73,N73,P73),"실수 후 회복력",IF(K73=MIN(G73,Q73,K73,N73,P73),"경기 준비 능력",IF(G73=MIN(G73,Q73,K73,N73,P73),"경기긴장도",IF(P73=MIN(G73,Q73,K73,N73,P73),"자기 통제력","사회적 도움 활용")))),IF(MAX(AK73:AO73)&gt;='판정 기준'!$B$8-'판정 기준'!$B$4,IF(AN73=MAX(AK73:AO73),"실수 후 회복력",IF(AM73=MAX(AK73:AO73),"경기 준비 능력",IF(AK73=MAX(AK73:AO73),"경기긴장도",IF(AO73=MAX(AK73:AO73),"자기 통제력","사회적 도움 활용")))),IF(AN73&gt;0,"실수 후 회복력",IF(AM73&gt;0,"경기 준비 능력",IF(AK73&gt;0,"경기긴장도",IF(AO73&gt;0,"자기 통제력","사회적 도움 활용"))))))</f>
        <v>경기 준비 능력</v>
      </c>
      <c r="AA73" s="43" t="str">
        <f aca="false">INDEX('포지션 정의'!$L$2:$L$9,MATCH(V73,'포지션 정의'!$D$2:$D$9,0))</f>
        <v>올리비에 지루 · 디에고 포를란 · 라다멜 팔카오</v>
      </c>
      <c r="AB73" s="24" t="n">
        <f aca="false">ROUND(100*(1-SQRT(((S73-'포지션 정의'!$N$2)^2+(T73-'포지션 정의'!$O$2)^2+(U73-'포지션 정의'!$P$2)^2)/3)/'판정 기준'!$B$7),0)</f>
        <v>79</v>
      </c>
      <c r="AC73" s="24" t="n">
        <f aca="false">ROUND(100*(1-SQRT(((S73-'포지션 정의'!$N$3)^2+(T73-'포지션 정의'!$O$3)^2+(U73-'포지션 정의'!$P$3)^2)/3)/'판정 기준'!$B$7),0)</f>
        <v>77</v>
      </c>
      <c r="AD73" s="24" t="n">
        <f aca="false">ROUND(100*(1-SQRT(((S73-'포지션 정의'!$N$4)^2+(T73-'포지션 정의'!$O$4)^2+(U73-'포지션 정의'!$P$4)^2)/3)/'판정 기준'!$B$7),0)</f>
        <v>80</v>
      </c>
      <c r="AE73" s="24" t="n">
        <f aca="false">ROUND(100*(1-SQRT(((S73-'포지션 정의'!$N$5)^2+(T73-'포지션 정의'!$O$5)^2+(U73-'포지션 정의'!$P$5)^2)/3)/'판정 기준'!$B$7),0)</f>
        <v>89</v>
      </c>
      <c r="AF73" s="24" t="n">
        <f aca="false">ROUND(100*(1-SQRT(((S73-'포지션 정의'!$N$6)^2+(T73-'포지션 정의'!$O$6)^2+(U73-'포지션 정의'!$P$6)^2)/3)/'판정 기준'!$B$7),0)</f>
        <v>93</v>
      </c>
      <c r="AG73" s="24" t="n">
        <f aca="false">ROUND(100*(1-SQRT(((S73-'포지션 정의'!$N$7)^2+(T73-'포지션 정의'!$O$7)^2+(U73-'포지션 정의'!$P$7)^2)/3)/'판정 기준'!$B$7),0)</f>
        <v>87</v>
      </c>
      <c r="AH73" s="24" t="n">
        <f aca="false">ROUND(100*(1-SQRT(((S73-'포지션 정의'!$N$8)^2+(T73-'포지션 정의'!$O$8)^2+(U73-'포지션 정의'!$P$8)^2)/3)/'판정 기준'!$B$7),0)</f>
        <v>82</v>
      </c>
      <c r="AI73" s="24" t="n">
        <f aca="false">ROUND(100*(1-SQRT(((S73-'포지션 정의'!$N$9)^2+(T73-'포지션 정의'!$O$9)^2+(U73-'포지션 정의'!$P$9)^2)/3)/'판정 기준'!$B$7),0)</f>
        <v>84</v>
      </c>
      <c r="AJ73" s="23" t="str">
        <f aca="false">IF(G73&gt;='판정 기준'!$B$8,"경기긴장도, ","")&amp;IF(Q73&gt;='판정 기준'!$B$8,"사회적 도움 활용, ","")&amp;IF(K73&gt;='판정 기준'!$B$8,"경기 준비 능력, ","")&amp;IF(N73&gt;='판정 기준'!$B$8,"실수 후 회복력, ","")&amp;IF(P73&gt;='판정 기준'!$B$8,"자기 통제력, ","")</f>
        <v>사회적 도움 활용, 실수 후 회복력, 자기 통제력, </v>
      </c>
      <c r="AK73" s="23" t="n">
        <f aca="false">IF(AND(G73&lt;'판정 기준'!$B$8,OR(AJ73&lt;&gt;"",AP73&lt;&gt;"경기긴장도")),G73,0)</f>
        <v>4.3</v>
      </c>
      <c r="AL73" s="23" t="n">
        <f aca="false">IF(AND(Q73&lt;'판정 기준'!$B$8,OR(AJ73&lt;&gt;"",AP73&lt;&gt;"사회적 도움 활용")),Q73,0)</f>
        <v>0</v>
      </c>
      <c r="AM73" s="23" t="n">
        <f aca="false">IF(AND(K73&lt;'판정 기준'!$B$8,OR(AJ73&lt;&gt;"",AP73&lt;&gt;"경기 준비 능력")),K73,0)</f>
        <v>4.2</v>
      </c>
      <c r="AN73" s="23" t="n">
        <f aca="false">IF(AND(N73&lt;'판정 기준'!$B$8,OR(AJ73&lt;&gt;"",AP73&lt;&gt;"실수 후 회복력")),N73,0)</f>
        <v>0</v>
      </c>
      <c r="AO73" s="23" t="n">
        <f aca="false">IF(AND(P73&lt;'판정 기준'!$B$8,OR(AJ73&lt;&gt;"",AP73&lt;&gt;"자기 통제력")),P73,0)</f>
        <v>0</v>
      </c>
      <c r="AP73" s="23" t="str">
        <f aca="false">IF(Q73=MAX(G73,Q73,K73,N73,P73),"사회적 도움 활용",IF(P73=MAX(G73,Q73,K73,N73,P73),"자기 통제력",IF(G73=MAX(G73,Q73,K73,N73,P73),"경기긴장도",IF(K73=MAX(G73,Q73,K73,N73,P73),"경기 준비 능력","실수 후 회복력"))))</f>
        <v>사회적 도움 활용</v>
      </c>
    </row>
    <row r="74" customFormat="false" ht="17.15" hidden="false" customHeight="false" outlineLevel="0" collapsed="false">
      <c r="A74" s="13" t="s">
        <v>286</v>
      </c>
      <c r="B74" s="13" t="s">
        <v>187</v>
      </c>
      <c r="C74" s="13" t="s">
        <v>273</v>
      </c>
      <c r="D74" s="14" t="n">
        <v>46175</v>
      </c>
      <c r="E74" s="41" t="s">
        <v>195</v>
      </c>
      <c r="F74" s="42" t="n">
        <v>4.1</v>
      </c>
      <c r="G74" s="42" t="n">
        <v>4.8</v>
      </c>
      <c r="H74" s="42" t="n">
        <v>4.3</v>
      </c>
      <c r="I74" s="42" t="n">
        <v>5.4</v>
      </c>
      <c r="J74" s="42" t="n">
        <v>3.8</v>
      </c>
      <c r="K74" s="42" t="n">
        <v>3.7</v>
      </c>
      <c r="L74" s="42" t="n">
        <v>3.3</v>
      </c>
      <c r="M74" s="42" t="n">
        <v>4</v>
      </c>
      <c r="N74" s="42" t="n">
        <v>4</v>
      </c>
      <c r="O74" s="42" t="n">
        <v>4.5</v>
      </c>
      <c r="P74" s="42" t="n">
        <v>3.8</v>
      </c>
      <c r="Q74" s="42" t="n">
        <v>5.4</v>
      </c>
      <c r="R74" s="42" t="n">
        <v>4.3</v>
      </c>
      <c r="S74" s="37" t="n">
        <f aca="false">AVERAGE(G74:J74)</f>
        <v>4.575</v>
      </c>
      <c r="T74" s="37" t="n">
        <f aca="false">AVERAGE(K74:M74)</f>
        <v>3.66666666666667</v>
      </c>
      <c r="U74" s="37" t="n">
        <f aca="false">AVERAGE(N74:O74)</f>
        <v>4.25</v>
      </c>
      <c r="V74" s="23" t="str">
        <f aca="false">IF(S74&gt;='판정 기준'!$B$3,"H","L")&amp;IF(T74&gt;='판정 기준'!$B$3,"H","L")&amp;IF(U74&gt;='판정 기준'!$B$3,"H","L")</f>
        <v>HLL</v>
      </c>
      <c r="W74" s="36" t="str">
        <f aca="false">INDEX('포지션 정의'!$A$2:$A$9,MATCH(V74,'포지션 정의'!$D$2:$D$9,0))</f>
        <v>C</v>
      </c>
      <c r="X74" s="36" t="str">
        <f aca="false">INDEX('포지션 정의'!$B$2:$B$9,MATCH(V74,'포지션 정의'!$D$2:$D$9,0))</f>
        <v>침착한 감각형</v>
      </c>
      <c r="Y74" s="43" t="str">
        <f aca="false">IF(AJ74="","가장 높은 지표: "&amp;AP74,LEFT(AJ74,LEN(AJ74)-2))</f>
        <v>경기긴장도, 사회적 도움 활용</v>
      </c>
      <c r="Z74" s="43" t="str">
        <f aca="false">IF(MAX(AK74:AO74)=0,"심화: "&amp;IF(N74=MIN(G74,Q74,K74,N74,P74),"실수 후 회복력",IF(K74=MIN(G74,Q74,K74,N74,P74),"경기 준비 능력",IF(G74=MIN(G74,Q74,K74,N74,P74),"경기긴장도",IF(P74=MIN(G74,Q74,K74,N74,P74),"자기 통제력","사회적 도움 활용")))),IF(MAX(AK74:AO74)&gt;='판정 기준'!$B$8-'판정 기준'!$B$4,IF(AN74=MAX(AK74:AO74),"실수 후 회복력",IF(AM74=MAX(AK74:AO74),"경기 준비 능력",IF(AK74=MAX(AK74:AO74),"경기긴장도",IF(AO74=MAX(AK74:AO74),"자기 통제력","사회적 도움 활용")))),IF(AN74&gt;0,"실수 후 회복력",IF(AM74&gt;0,"경기 준비 능력",IF(AK74&gt;0,"경기긴장도",IF(AO74&gt;0,"자기 통제력","사회적 도움 활용"))))))</f>
        <v>실수 후 회복력</v>
      </c>
      <c r="AA74" s="43" t="str">
        <f aca="false">INDEX('포지션 정의'!$L$2:$L$9,MATCH(V74,'포지션 정의'!$D$2:$D$9,0))</f>
        <v>안드레아 피를로 · 디미타르 베르바토프 · 메수트 외질</v>
      </c>
      <c r="AB74" s="24" t="n">
        <f aca="false">ROUND(100*(1-SQRT(((S74-'포지션 정의'!$N$2)^2+(T74-'포지션 정의'!$O$2)^2+(U74-'포지션 정의'!$P$2)^2)/3)/'판정 기준'!$B$7),0)</f>
        <v>79</v>
      </c>
      <c r="AC74" s="24" t="n">
        <f aca="false">ROUND(100*(1-SQRT(((S74-'포지션 정의'!$N$3)^2+(T74-'포지션 정의'!$O$3)^2+(U74-'포지션 정의'!$P$3)^2)/3)/'판정 기준'!$B$7),0)</f>
        <v>80</v>
      </c>
      <c r="AD74" s="24" t="n">
        <f aca="false">ROUND(100*(1-SQRT(((S74-'포지션 정의'!$N$4)^2+(T74-'포지션 정의'!$O$4)^2+(U74-'포지션 정의'!$P$4)^2)/3)/'판정 기준'!$B$7),0)</f>
        <v>91</v>
      </c>
      <c r="AE74" s="24" t="n">
        <f aca="false">ROUND(100*(1-SQRT(((S74-'포지션 정의'!$N$5)^2+(T74-'포지션 정의'!$O$5)^2+(U74-'포지션 정의'!$P$5)^2)/3)/'판정 기준'!$B$7),0)</f>
        <v>87</v>
      </c>
      <c r="AF74" s="24" t="n">
        <f aca="false">ROUND(100*(1-SQRT(((S74-'포지션 정의'!$N$6)^2+(T74-'포지션 정의'!$O$6)^2+(U74-'포지션 정의'!$P$6)^2)/3)/'판정 기준'!$B$7),0)</f>
        <v>86</v>
      </c>
      <c r="AG74" s="24" t="n">
        <f aca="false">ROUND(100*(1-SQRT(((S74-'포지션 정의'!$N$7)^2+(T74-'포지션 정의'!$O$7)^2+(U74-'포지션 정의'!$P$7)^2)/3)/'판정 기준'!$B$7),0)</f>
        <v>77</v>
      </c>
      <c r="AH74" s="24" t="n">
        <f aca="false">ROUND(100*(1-SQRT(((S74-'포지션 정의'!$N$8)^2+(T74-'포지션 정의'!$O$8)^2+(U74-'포지션 정의'!$P$8)^2)/3)/'판정 기준'!$B$7),0)</f>
        <v>90</v>
      </c>
      <c r="AI74" s="24" t="n">
        <f aca="false">ROUND(100*(1-SQRT(((S74-'포지션 정의'!$N$9)^2+(T74-'포지션 정의'!$O$9)^2+(U74-'포지션 정의'!$P$9)^2)/3)/'판정 기준'!$B$7),0)</f>
        <v>78</v>
      </c>
      <c r="AJ74" s="23" t="str">
        <f aca="false">IF(G74&gt;='판정 기준'!$B$8,"경기긴장도, ","")&amp;IF(Q74&gt;='판정 기준'!$B$8,"사회적 도움 활용, ","")&amp;IF(K74&gt;='판정 기준'!$B$8,"경기 준비 능력, ","")&amp;IF(N74&gt;='판정 기준'!$B$8,"실수 후 회복력, ","")&amp;IF(P74&gt;='판정 기준'!$B$8,"자기 통제력, ","")</f>
        <v>경기긴장도, 사회적 도움 활용, </v>
      </c>
      <c r="AK74" s="23" t="n">
        <f aca="false">IF(AND(G74&lt;'판정 기준'!$B$8,OR(AJ74&lt;&gt;"",AP74&lt;&gt;"경기긴장도")),G74,0)</f>
        <v>0</v>
      </c>
      <c r="AL74" s="23" t="n">
        <f aca="false">IF(AND(Q74&lt;'판정 기준'!$B$8,OR(AJ74&lt;&gt;"",AP74&lt;&gt;"사회적 도움 활용")),Q74,0)</f>
        <v>0</v>
      </c>
      <c r="AM74" s="23" t="n">
        <f aca="false">IF(AND(K74&lt;'판정 기준'!$B$8,OR(AJ74&lt;&gt;"",AP74&lt;&gt;"경기 준비 능력")),K74,0)</f>
        <v>3.7</v>
      </c>
      <c r="AN74" s="23" t="n">
        <f aca="false">IF(AND(N74&lt;'판정 기준'!$B$8,OR(AJ74&lt;&gt;"",AP74&lt;&gt;"실수 후 회복력")),N74,0)</f>
        <v>4</v>
      </c>
      <c r="AO74" s="23" t="n">
        <f aca="false">IF(AND(P74&lt;'판정 기준'!$B$8,OR(AJ74&lt;&gt;"",AP74&lt;&gt;"자기 통제력")),P74,0)</f>
        <v>3.8</v>
      </c>
      <c r="AP74" s="23" t="str">
        <f aca="false">IF(Q74=MAX(G74,Q74,K74,N74,P74),"사회적 도움 활용",IF(P74=MAX(G74,Q74,K74,N74,P74),"자기 통제력",IF(G74=MAX(G74,Q74,K74,N74,P74),"경기긴장도",IF(K74=MAX(G74,Q74,K74,N74,P74),"경기 준비 능력","실수 후 회복력"))))</f>
        <v>사회적 도움 활용</v>
      </c>
    </row>
    <row r="75" customFormat="false" ht="17.15" hidden="false" customHeight="false" outlineLevel="0" collapsed="false">
      <c r="A75" s="13" t="s">
        <v>287</v>
      </c>
      <c r="B75" s="13" t="s">
        <v>187</v>
      </c>
      <c r="C75" s="13" t="s">
        <v>273</v>
      </c>
      <c r="D75" s="14" t="n">
        <v>46175</v>
      </c>
      <c r="E75" s="41" t="s">
        <v>193</v>
      </c>
      <c r="F75" s="42" t="n">
        <v>4.8</v>
      </c>
      <c r="G75" s="42" t="n">
        <v>5.3</v>
      </c>
      <c r="H75" s="42" t="n">
        <v>5.3</v>
      </c>
      <c r="I75" s="42" t="n">
        <v>5</v>
      </c>
      <c r="J75" s="42" t="n">
        <v>5.5</v>
      </c>
      <c r="K75" s="42" t="n">
        <v>4.9</v>
      </c>
      <c r="L75" s="42" t="n">
        <v>5.2</v>
      </c>
      <c r="M75" s="42" t="n">
        <v>4.7</v>
      </c>
      <c r="N75" s="42" t="n">
        <v>4</v>
      </c>
      <c r="O75" s="42" t="n">
        <v>4.8</v>
      </c>
      <c r="P75" s="42" t="n">
        <v>5.2</v>
      </c>
      <c r="Q75" s="42" t="n">
        <v>5.6</v>
      </c>
      <c r="R75" s="42" t="n">
        <v>6</v>
      </c>
      <c r="S75" s="37" t="n">
        <f aca="false">AVERAGE(G75:J75)</f>
        <v>5.275</v>
      </c>
      <c r="T75" s="37" t="n">
        <f aca="false">AVERAGE(K75:M75)</f>
        <v>4.93333333333333</v>
      </c>
      <c r="U75" s="37" t="n">
        <f aca="false">AVERAGE(N75:O75)</f>
        <v>4.4</v>
      </c>
      <c r="V75" s="23" t="str">
        <f aca="false">IF(S75&gt;='판정 기준'!$B$3,"H","L")&amp;IF(T75&gt;='판정 기준'!$B$3,"H","L")&amp;IF(U75&gt;='판정 기준'!$B$3,"H","L")</f>
        <v>HHL</v>
      </c>
      <c r="W75" s="36" t="str">
        <f aca="false">INDEX('포지션 정의'!$A$2:$A$9,MATCH(V75,'포지션 정의'!$D$2:$D$9,0))</f>
        <v>B</v>
      </c>
      <c r="X75" s="36" t="str">
        <f aca="false">INDEX('포지션 정의'!$B$2:$B$9,MATCH(V75,'포지션 정의'!$D$2:$D$9,0))</f>
        <v>책임감 설계자형</v>
      </c>
      <c r="Y75" s="43" t="str">
        <f aca="false">IF(AJ75="","가장 높은 지표: "&amp;AP75,LEFT(AJ75,LEN(AJ75)-2))</f>
        <v>경기긴장도, 사회적 도움 활용, 경기 준비 능력, 자기 통제력</v>
      </c>
      <c r="Z75" s="43" t="str">
        <f aca="false">IF(MAX(AK75:AO75)=0,"심화: "&amp;IF(N75=MIN(G75,Q75,K75,N75,P75),"실수 후 회복력",IF(K75=MIN(G75,Q75,K75,N75,P75),"경기 준비 능력",IF(G75=MIN(G75,Q75,K75,N75,P75),"경기긴장도",IF(P75=MIN(G75,Q75,K75,N75,P75),"자기 통제력","사회적 도움 활용")))),IF(MAX(AK75:AO75)&gt;='판정 기준'!$B$8-'판정 기준'!$B$4,IF(AN75=MAX(AK75:AO75),"실수 후 회복력",IF(AM75=MAX(AK75:AO75),"경기 준비 능력",IF(AK75=MAX(AK75:AO75),"경기긴장도",IF(AO75=MAX(AK75:AO75),"자기 통제력","사회적 도움 활용")))),IF(AN75&gt;0,"실수 후 회복력",IF(AM75&gt;0,"경기 준비 능력",IF(AK75&gt;0,"경기긴장도",IF(AO75&gt;0,"자기 통제력","사회적 도움 활용"))))))</f>
        <v>실수 후 회복력</v>
      </c>
      <c r="AA75" s="43" t="str">
        <f aca="false">INDEX('포지션 정의'!$L$2:$L$9,MATCH(V75,'포지션 정의'!$D$2:$D$9,0))</f>
        <v>해리 케인 · 토니 크로스 · 필립 람</v>
      </c>
      <c r="AB75" s="24" t="n">
        <f aca="false">ROUND(100*(1-SQRT(((S75-'포지션 정의'!$N$2)^2+(T75-'포지션 정의'!$O$2)^2+(U75-'포지션 정의'!$P$2)^2)/3)/'판정 기준'!$B$7),0)</f>
        <v>81</v>
      </c>
      <c r="AC75" s="24" t="n">
        <f aca="false">ROUND(100*(1-SQRT(((S75-'포지션 정의'!$N$3)^2+(T75-'포지션 정의'!$O$3)^2+(U75-'포지션 정의'!$P$3)^2)/3)/'판정 기준'!$B$7),0)</f>
        <v>92</v>
      </c>
      <c r="AD75" s="24" t="n">
        <f aca="false">ROUND(100*(1-SQRT(((S75-'포지션 정의'!$N$4)^2+(T75-'포지션 정의'!$O$4)^2+(U75-'포지션 정의'!$P$4)^2)/3)/'판정 기준'!$B$7),0)</f>
        <v>85</v>
      </c>
      <c r="AE75" s="24" t="n">
        <f aca="false">ROUND(100*(1-SQRT(((S75-'포지션 정의'!$N$5)^2+(T75-'포지션 정의'!$O$5)^2+(U75-'포지션 정의'!$P$5)^2)/3)/'판정 기준'!$B$7),0)</f>
        <v>84</v>
      </c>
      <c r="AF75" s="24" t="n">
        <f aca="false">ROUND(100*(1-SQRT(((S75-'포지션 정의'!$N$6)^2+(T75-'포지션 정의'!$O$6)^2+(U75-'포지션 정의'!$P$6)^2)/3)/'판정 기준'!$B$7),0)</f>
        <v>77</v>
      </c>
      <c r="AG75" s="24" t="n">
        <f aca="false">ROUND(100*(1-SQRT(((S75-'포지션 정의'!$N$7)^2+(T75-'포지션 정의'!$O$7)^2+(U75-'포지션 정의'!$P$7)^2)/3)/'판정 기준'!$B$7),0)</f>
        <v>80</v>
      </c>
      <c r="AH75" s="24" t="n">
        <f aca="false">ROUND(100*(1-SQRT(((S75-'포지션 정의'!$N$8)^2+(T75-'포지션 정의'!$O$8)^2+(U75-'포지션 정의'!$P$8)^2)/3)/'판정 기준'!$B$7),0)</f>
        <v>77</v>
      </c>
      <c r="AI75" s="24" t="n">
        <f aca="false">ROUND(100*(1-SQRT(((S75-'포지션 정의'!$N$9)^2+(T75-'포지션 정의'!$O$9)^2+(U75-'포지션 정의'!$P$9)^2)/3)/'판정 기준'!$B$7),0)</f>
        <v>90</v>
      </c>
      <c r="AJ75" s="23" t="str">
        <f aca="false">IF(G75&gt;='판정 기준'!$B$8,"경기긴장도, ","")&amp;IF(Q75&gt;='판정 기준'!$B$8,"사회적 도움 활용, ","")&amp;IF(K75&gt;='판정 기준'!$B$8,"경기 준비 능력, ","")&amp;IF(N75&gt;='판정 기준'!$B$8,"실수 후 회복력, ","")&amp;IF(P75&gt;='판정 기준'!$B$8,"자기 통제력, ","")</f>
        <v>경기긴장도, 사회적 도움 활용, 경기 준비 능력, 자기 통제력, </v>
      </c>
      <c r="AK75" s="23" t="n">
        <f aca="false">IF(AND(G75&lt;'판정 기준'!$B$8,OR(AJ75&lt;&gt;"",AP75&lt;&gt;"경기긴장도")),G75,0)</f>
        <v>0</v>
      </c>
      <c r="AL75" s="23" t="n">
        <f aca="false">IF(AND(Q75&lt;'판정 기준'!$B$8,OR(AJ75&lt;&gt;"",AP75&lt;&gt;"사회적 도움 활용")),Q75,0)</f>
        <v>0</v>
      </c>
      <c r="AM75" s="23" t="n">
        <f aca="false">IF(AND(K75&lt;'판정 기준'!$B$8,OR(AJ75&lt;&gt;"",AP75&lt;&gt;"경기 준비 능력")),K75,0)</f>
        <v>0</v>
      </c>
      <c r="AN75" s="23" t="n">
        <f aca="false">IF(AND(N75&lt;'판정 기준'!$B$8,OR(AJ75&lt;&gt;"",AP75&lt;&gt;"실수 후 회복력")),N75,0)</f>
        <v>4</v>
      </c>
      <c r="AO75" s="23" t="n">
        <f aca="false">IF(AND(P75&lt;'판정 기준'!$B$8,OR(AJ75&lt;&gt;"",AP75&lt;&gt;"자기 통제력")),P75,0)</f>
        <v>0</v>
      </c>
      <c r="AP75" s="23" t="str">
        <f aca="false">IF(Q75=MAX(G75,Q75,K75,N75,P75),"사회적 도움 활용",IF(P75=MAX(G75,Q75,K75,N75,P75),"자기 통제력",IF(G75=MAX(G75,Q75,K75,N75,P75),"경기긴장도",IF(K75=MAX(G75,Q75,K75,N75,P75),"경기 준비 능력","실수 후 회복력"))))</f>
        <v>사회적 도움 활용</v>
      </c>
    </row>
    <row r="76" customFormat="false" ht="17.15" hidden="false" customHeight="false" outlineLevel="0" collapsed="false">
      <c r="A76" s="13" t="s">
        <v>288</v>
      </c>
      <c r="B76" s="13" t="s">
        <v>187</v>
      </c>
      <c r="C76" s="13" t="s">
        <v>273</v>
      </c>
      <c r="D76" s="14" t="n">
        <v>46175</v>
      </c>
      <c r="E76" s="41" t="s">
        <v>198</v>
      </c>
      <c r="F76" s="42" t="n">
        <v>4.9</v>
      </c>
      <c r="G76" s="42" t="n">
        <v>4.8</v>
      </c>
      <c r="H76" s="42" t="n">
        <v>5</v>
      </c>
      <c r="I76" s="42" t="n">
        <v>4.8</v>
      </c>
      <c r="J76" s="42" t="n">
        <v>4.7</v>
      </c>
      <c r="K76" s="42" t="n">
        <v>4.7</v>
      </c>
      <c r="L76" s="42" t="n">
        <v>4.8</v>
      </c>
      <c r="M76" s="42" t="n">
        <v>4.6</v>
      </c>
      <c r="N76" s="42" t="n">
        <v>5.1</v>
      </c>
      <c r="O76" s="42" t="n">
        <v>4.3</v>
      </c>
      <c r="P76" s="42" t="n">
        <v>4.8</v>
      </c>
      <c r="Q76" s="42" t="n">
        <v>5.4</v>
      </c>
      <c r="R76" s="42" t="n">
        <v>5.7</v>
      </c>
      <c r="S76" s="37" t="n">
        <f aca="false">AVERAGE(G76:J76)</f>
        <v>4.825</v>
      </c>
      <c r="T76" s="37" t="n">
        <f aca="false">AVERAGE(K76:M76)</f>
        <v>4.7</v>
      </c>
      <c r="U76" s="37" t="n">
        <f aca="false">AVERAGE(N76:O76)</f>
        <v>4.7</v>
      </c>
      <c r="V76" s="23" t="str">
        <f aca="false">IF(S76&gt;='판정 기준'!$B$3,"H","L")&amp;IF(T76&gt;='판정 기준'!$B$3,"H","L")&amp;IF(U76&gt;='판정 기준'!$B$3,"H","L")</f>
        <v>HHH</v>
      </c>
      <c r="W76" s="36" t="str">
        <f aca="false">INDEX('포지션 정의'!$A$2:$A$9,MATCH(V76,'포지션 정의'!$D$2:$D$9,0))</f>
        <v>H</v>
      </c>
      <c r="X76" s="36" t="str">
        <f aca="false">INDEX('포지션 정의'!$B$2:$B$9,MATCH(V76,'포지션 정의'!$D$2:$D$9,0))</f>
        <v>올라운드 밸런스형</v>
      </c>
      <c r="Y76" s="43" t="str">
        <f aca="false">IF(AJ76="","가장 높은 지표: "&amp;AP76,LEFT(AJ76,LEN(AJ76)-2))</f>
        <v>경기긴장도, 사회적 도움 활용, 실수 후 회복력, 자기 통제력</v>
      </c>
      <c r="Z76" s="43" t="str">
        <f aca="false">IF(MAX(AK76:AO76)=0,"심화: "&amp;IF(N76=MIN(G76,Q76,K76,N76,P76),"실수 후 회복력",IF(K76=MIN(G76,Q76,K76,N76,P76),"경기 준비 능력",IF(G76=MIN(G76,Q76,K76,N76,P76),"경기긴장도",IF(P76=MIN(G76,Q76,K76,N76,P76),"자기 통제력","사회적 도움 활용")))),IF(MAX(AK76:AO76)&gt;='판정 기준'!$B$8-'판정 기준'!$B$4,IF(AN76=MAX(AK76:AO76),"실수 후 회복력",IF(AM76=MAX(AK76:AO76),"경기 준비 능력",IF(AK76=MAX(AK76:AO76),"경기긴장도",IF(AO76=MAX(AK76:AO76),"자기 통제력","사회적 도움 활용")))),IF(AN76&gt;0,"실수 후 회복력",IF(AM76&gt;0,"경기 준비 능력",IF(AK76&gt;0,"경기긴장도",IF(AO76&gt;0,"자기 통제력","사회적 도움 활용"))))))</f>
        <v>경기 준비 능력</v>
      </c>
      <c r="AA76" s="43" t="str">
        <f aca="false">INDEX('포지션 정의'!$L$2:$L$9,MATCH(V76,'포지션 정의'!$D$2:$D$9,0))</f>
        <v>크리스티아누 호날두 · 루카 모드리치 · 버질 반 다이크</v>
      </c>
      <c r="AB76" s="24" t="n">
        <f aca="false">ROUND(100*(1-SQRT(((S76-'포지션 정의'!$N$2)^2+(T76-'포지션 정의'!$O$2)^2+(U76-'포지션 정의'!$P$2)^2)/3)/'판정 기준'!$B$7),0)</f>
        <v>83</v>
      </c>
      <c r="AC76" s="24" t="n">
        <f aca="false">ROUND(100*(1-SQRT(((S76-'포지션 정의'!$N$3)^2+(T76-'포지션 정의'!$O$3)^2+(U76-'포지션 정의'!$P$3)^2)/3)/'판정 기준'!$B$7),0)</f>
        <v>87</v>
      </c>
      <c r="AD76" s="24" t="n">
        <f aca="false">ROUND(100*(1-SQRT(((S76-'포지션 정의'!$N$4)^2+(T76-'포지션 정의'!$O$4)^2+(U76-'포지션 정의'!$P$4)^2)/3)/'판정 기준'!$B$7),0)</f>
        <v>85</v>
      </c>
      <c r="AE76" s="24" t="n">
        <f aca="false">ROUND(100*(1-SQRT(((S76-'포지션 정의'!$N$5)^2+(T76-'포지션 정의'!$O$5)^2+(U76-'포지션 정의'!$P$5)^2)/3)/'판정 기준'!$B$7),0)</f>
        <v>87</v>
      </c>
      <c r="AF76" s="24" t="n">
        <f aca="false">ROUND(100*(1-SQRT(((S76-'포지션 정의'!$N$6)^2+(T76-'포지션 정의'!$O$6)^2+(U76-'포지션 정의'!$P$6)^2)/3)/'판정 기준'!$B$7),0)</f>
        <v>83</v>
      </c>
      <c r="AG76" s="24" t="n">
        <f aca="false">ROUND(100*(1-SQRT(((S76-'포지션 정의'!$N$7)^2+(T76-'포지션 정의'!$O$7)^2+(U76-'포지션 정의'!$P$7)^2)/3)/'판정 기준'!$B$7),0)</f>
        <v>86</v>
      </c>
      <c r="AH76" s="24" t="n">
        <f aca="false">ROUND(100*(1-SQRT(((S76-'포지션 정의'!$N$8)^2+(T76-'포지션 정의'!$O$8)^2+(U76-'포지션 정의'!$P$8)^2)/3)/'판정 기준'!$B$7),0)</f>
        <v>81</v>
      </c>
      <c r="AI76" s="24" t="n">
        <f aca="false">ROUND(100*(1-SQRT(((S76-'포지션 정의'!$N$9)^2+(T76-'포지션 정의'!$O$9)^2+(U76-'포지션 정의'!$P$9)^2)/3)/'판정 기준'!$B$7),0)</f>
        <v>91</v>
      </c>
      <c r="AJ76" s="23" t="str">
        <f aca="false">IF(G76&gt;='판정 기준'!$B$8,"경기긴장도, ","")&amp;IF(Q76&gt;='판정 기준'!$B$8,"사회적 도움 활용, ","")&amp;IF(K76&gt;='판정 기준'!$B$8,"경기 준비 능력, ","")&amp;IF(N76&gt;='판정 기준'!$B$8,"실수 후 회복력, ","")&amp;IF(P76&gt;='판정 기준'!$B$8,"자기 통제력, ","")</f>
        <v>경기긴장도, 사회적 도움 활용, 실수 후 회복력, 자기 통제력, </v>
      </c>
      <c r="AK76" s="23" t="n">
        <f aca="false">IF(AND(G76&lt;'판정 기준'!$B$8,OR(AJ76&lt;&gt;"",AP76&lt;&gt;"경기긴장도")),G76,0)</f>
        <v>0</v>
      </c>
      <c r="AL76" s="23" t="n">
        <f aca="false">IF(AND(Q76&lt;'판정 기준'!$B$8,OR(AJ76&lt;&gt;"",AP76&lt;&gt;"사회적 도움 활용")),Q76,0)</f>
        <v>0</v>
      </c>
      <c r="AM76" s="23" t="n">
        <f aca="false">IF(AND(K76&lt;'판정 기준'!$B$8,OR(AJ76&lt;&gt;"",AP76&lt;&gt;"경기 준비 능력")),K76,0)</f>
        <v>4.7</v>
      </c>
      <c r="AN76" s="23" t="n">
        <f aca="false">IF(AND(N76&lt;'판정 기준'!$B$8,OR(AJ76&lt;&gt;"",AP76&lt;&gt;"실수 후 회복력")),N76,0)</f>
        <v>0</v>
      </c>
      <c r="AO76" s="23" t="n">
        <f aca="false">IF(AND(P76&lt;'판정 기준'!$B$8,OR(AJ76&lt;&gt;"",AP76&lt;&gt;"자기 통제력")),P76,0)</f>
        <v>0</v>
      </c>
      <c r="AP76" s="23" t="str">
        <f aca="false">IF(Q76=MAX(G76,Q76,K76,N76,P76),"사회적 도움 활용",IF(P76=MAX(G76,Q76,K76,N76,P76),"자기 통제력",IF(G76=MAX(G76,Q76,K76,N76,P76),"경기긴장도",IF(K76=MAX(G76,Q76,K76,N76,P76),"경기 준비 능력","실수 후 회복력"))))</f>
        <v>사회적 도움 활용</v>
      </c>
    </row>
    <row r="77" customFormat="false" ht="17.15" hidden="false" customHeight="false" outlineLevel="0" collapsed="false">
      <c r="A77" s="13" t="s">
        <v>289</v>
      </c>
      <c r="B77" s="13" t="s">
        <v>187</v>
      </c>
      <c r="C77" s="13" t="s">
        <v>273</v>
      </c>
      <c r="D77" s="14" t="n">
        <v>46175</v>
      </c>
      <c r="E77" s="41" t="s">
        <v>195</v>
      </c>
      <c r="F77" s="42" t="n">
        <v>5</v>
      </c>
      <c r="G77" s="42" t="n">
        <v>4.4</v>
      </c>
      <c r="H77" s="42" t="n">
        <v>4.7</v>
      </c>
      <c r="I77" s="42" t="n">
        <v>4.4</v>
      </c>
      <c r="J77" s="42" t="n">
        <v>4.7</v>
      </c>
      <c r="K77" s="42" t="n">
        <v>4.7</v>
      </c>
      <c r="L77" s="42" t="n">
        <v>4.8</v>
      </c>
      <c r="M77" s="42" t="n">
        <v>4.6</v>
      </c>
      <c r="N77" s="42" t="n">
        <v>5.6</v>
      </c>
      <c r="O77" s="42" t="n">
        <v>5.3</v>
      </c>
      <c r="P77" s="42" t="n">
        <v>5.2</v>
      </c>
      <c r="Q77" s="42" t="n">
        <v>5.4</v>
      </c>
      <c r="R77" s="42" t="n">
        <v>6</v>
      </c>
      <c r="S77" s="37" t="n">
        <f aca="false">AVERAGE(G77:J77)</f>
        <v>4.55</v>
      </c>
      <c r="T77" s="37" t="n">
        <f aca="false">AVERAGE(K77:M77)</f>
        <v>4.7</v>
      </c>
      <c r="U77" s="37" t="n">
        <f aca="false">AVERAGE(N77:O77)</f>
        <v>5.45</v>
      </c>
      <c r="V77" s="23" t="str">
        <f aca="false">IF(S77&gt;='판정 기준'!$B$3,"H","L")&amp;IF(T77&gt;='판정 기준'!$B$3,"H","L")&amp;IF(U77&gt;='판정 기준'!$B$3,"H","L")</f>
        <v>HHH</v>
      </c>
      <c r="W77" s="36" t="str">
        <f aca="false">INDEX('포지션 정의'!$A$2:$A$9,MATCH(V77,'포지션 정의'!$D$2:$D$9,0))</f>
        <v>H</v>
      </c>
      <c r="X77" s="36" t="str">
        <f aca="false">INDEX('포지션 정의'!$B$2:$B$9,MATCH(V77,'포지션 정의'!$D$2:$D$9,0))</f>
        <v>올라운드 밸런스형</v>
      </c>
      <c r="Y77" s="43" t="str">
        <f aca="false">IF(AJ77="","가장 높은 지표: "&amp;AP77,LEFT(AJ77,LEN(AJ77)-2))</f>
        <v>사회적 도움 활용, 실수 후 회복력, 자기 통제력</v>
      </c>
      <c r="Z77" s="43" t="str">
        <f aca="false">IF(MAX(AK77:AO77)=0,"심화: "&amp;IF(N77=MIN(G77,Q77,K77,N77,P77),"실수 후 회복력",IF(K77=MIN(G77,Q77,K77,N77,P77),"경기 준비 능력",IF(G77=MIN(G77,Q77,K77,N77,P77),"경기긴장도",IF(P77=MIN(G77,Q77,K77,N77,P77),"자기 통제력","사회적 도움 활용")))),IF(MAX(AK77:AO77)&gt;='판정 기준'!$B$8-'판정 기준'!$B$4,IF(AN77=MAX(AK77:AO77),"실수 후 회복력",IF(AM77=MAX(AK77:AO77),"경기 준비 능력",IF(AK77=MAX(AK77:AO77),"경기긴장도",IF(AO77=MAX(AK77:AO77),"자기 통제력","사회적 도움 활용")))),IF(AN77&gt;0,"실수 후 회복력",IF(AM77&gt;0,"경기 준비 능력",IF(AK77&gt;0,"경기긴장도",IF(AO77&gt;0,"자기 통제력","사회적 도움 활용"))))))</f>
        <v>경기 준비 능력</v>
      </c>
      <c r="AA77" s="43" t="str">
        <f aca="false">INDEX('포지션 정의'!$L$2:$L$9,MATCH(V77,'포지션 정의'!$D$2:$D$9,0))</f>
        <v>크리스티아누 호날두 · 루카 모드리치 · 버질 반 다이크</v>
      </c>
      <c r="AB77" s="24" t="n">
        <f aca="false">ROUND(100*(1-SQRT(((S77-'포지션 정의'!$N$2)^2+(T77-'포지션 정의'!$O$2)^2+(U77-'포지션 정의'!$P$2)^2)/3)/'판정 기준'!$B$7),0)</f>
        <v>78</v>
      </c>
      <c r="AC77" s="24" t="n">
        <f aca="false">ROUND(100*(1-SQRT(((S77-'포지션 정의'!$N$3)^2+(T77-'포지션 정의'!$O$3)^2+(U77-'포지션 정의'!$P$3)^2)/3)/'판정 기준'!$B$7),0)</f>
        <v>79</v>
      </c>
      <c r="AD77" s="24" t="n">
        <f aca="false">ROUND(100*(1-SQRT(((S77-'포지션 정의'!$N$4)^2+(T77-'포지션 정의'!$O$4)^2+(U77-'포지션 정의'!$P$4)^2)/3)/'판정 기준'!$B$7),0)</f>
        <v>77</v>
      </c>
      <c r="AE77" s="24" t="n">
        <f aca="false">ROUND(100*(1-SQRT(((S77-'포지션 정의'!$N$5)^2+(T77-'포지션 정의'!$O$5)^2+(U77-'포지션 정의'!$P$5)^2)/3)/'판정 기준'!$B$7),0)</f>
        <v>87</v>
      </c>
      <c r="AF77" s="24" t="n">
        <f aca="false">ROUND(100*(1-SQRT(((S77-'포지션 정의'!$N$6)^2+(T77-'포지션 정의'!$O$6)^2+(U77-'포지션 정의'!$P$6)^2)/3)/'판정 기준'!$B$7),0)</f>
        <v>86</v>
      </c>
      <c r="AG77" s="24" t="n">
        <f aca="false">ROUND(100*(1-SQRT(((S77-'포지션 정의'!$N$7)^2+(T77-'포지션 정의'!$O$7)^2+(U77-'포지션 정의'!$P$7)^2)/3)/'판정 기준'!$B$7),0)</f>
        <v>89</v>
      </c>
      <c r="AH77" s="24" t="n">
        <f aca="false">ROUND(100*(1-SQRT(((S77-'포지션 정의'!$N$8)^2+(T77-'포지션 정의'!$O$8)^2+(U77-'포지션 정의'!$P$8)^2)/3)/'판정 기준'!$B$7),0)</f>
        <v>77</v>
      </c>
      <c r="AI77" s="24" t="n">
        <f aca="false">ROUND(100*(1-SQRT(((S77-'포지션 정의'!$N$9)^2+(T77-'포지션 정의'!$O$9)^2+(U77-'포지션 정의'!$P$9)^2)/3)/'판정 기준'!$B$7),0)</f>
        <v>90</v>
      </c>
      <c r="AJ77" s="23" t="str">
        <f aca="false">IF(G77&gt;='판정 기준'!$B$8,"경기긴장도, ","")&amp;IF(Q77&gt;='판정 기준'!$B$8,"사회적 도움 활용, ","")&amp;IF(K77&gt;='판정 기준'!$B$8,"경기 준비 능력, ","")&amp;IF(N77&gt;='판정 기준'!$B$8,"실수 후 회복력, ","")&amp;IF(P77&gt;='판정 기준'!$B$8,"자기 통제력, ","")</f>
        <v>사회적 도움 활용, 실수 후 회복력, 자기 통제력, </v>
      </c>
      <c r="AK77" s="23" t="n">
        <f aca="false">IF(AND(G77&lt;'판정 기준'!$B$8,OR(AJ77&lt;&gt;"",AP77&lt;&gt;"경기긴장도")),G77,0)</f>
        <v>4.4</v>
      </c>
      <c r="AL77" s="23" t="n">
        <f aca="false">IF(AND(Q77&lt;'판정 기준'!$B$8,OR(AJ77&lt;&gt;"",AP77&lt;&gt;"사회적 도움 활용")),Q77,0)</f>
        <v>0</v>
      </c>
      <c r="AM77" s="23" t="n">
        <f aca="false">IF(AND(K77&lt;'판정 기준'!$B$8,OR(AJ77&lt;&gt;"",AP77&lt;&gt;"경기 준비 능력")),K77,0)</f>
        <v>4.7</v>
      </c>
      <c r="AN77" s="23" t="n">
        <f aca="false">IF(AND(N77&lt;'판정 기준'!$B$8,OR(AJ77&lt;&gt;"",AP77&lt;&gt;"실수 후 회복력")),N77,0)</f>
        <v>0</v>
      </c>
      <c r="AO77" s="23" t="n">
        <f aca="false">IF(AND(P77&lt;'판정 기준'!$B$8,OR(AJ77&lt;&gt;"",AP77&lt;&gt;"자기 통제력")),P77,0)</f>
        <v>0</v>
      </c>
      <c r="AP77" s="23" t="str">
        <f aca="false">IF(Q77=MAX(G77,Q77,K77,N77,P77),"사회적 도움 활용",IF(P77=MAX(G77,Q77,K77,N77,P77),"자기 통제력",IF(G77=MAX(G77,Q77,K77,N77,P77),"경기긴장도",IF(K77=MAX(G77,Q77,K77,N77,P77),"경기 준비 능력","실수 후 회복력"))))</f>
        <v>실수 후 회복력</v>
      </c>
    </row>
    <row r="78" customFormat="false" ht="17.15" hidden="false" customHeight="false" outlineLevel="0" collapsed="false">
      <c r="A78" s="13" t="s">
        <v>290</v>
      </c>
      <c r="B78" s="13" t="s">
        <v>187</v>
      </c>
      <c r="C78" s="13" t="s">
        <v>273</v>
      </c>
      <c r="D78" s="14" t="n">
        <v>46175</v>
      </c>
      <c r="E78" s="41" t="s">
        <v>195</v>
      </c>
      <c r="F78" s="42" t="n">
        <v>4.1</v>
      </c>
      <c r="G78" s="42" t="n">
        <v>4.1</v>
      </c>
      <c r="H78" s="42" t="n">
        <v>4</v>
      </c>
      <c r="I78" s="42" t="n">
        <v>4.2</v>
      </c>
      <c r="J78" s="42" t="n">
        <v>4.2</v>
      </c>
      <c r="K78" s="42" t="n">
        <v>5.1</v>
      </c>
      <c r="L78" s="42" t="n">
        <v>4.3</v>
      </c>
      <c r="M78" s="42" t="n">
        <v>5.7</v>
      </c>
      <c r="N78" s="42" t="n">
        <v>3</v>
      </c>
      <c r="O78" s="42" t="n">
        <v>3.2</v>
      </c>
      <c r="P78" s="42" t="n">
        <v>4.5</v>
      </c>
      <c r="Q78" s="42" t="n">
        <v>5.2</v>
      </c>
      <c r="R78" s="42" t="n">
        <v>6</v>
      </c>
      <c r="S78" s="37" t="n">
        <f aca="false">AVERAGE(G78:J78)</f>
        <v>4.125</v>
      </c>
      <c r="T78" s="37" t="n">
        <f aca="false">AVERAGE(K78:M78)</f>
        <v>5.03333333333333</v>
      </c>
      <c r="U78" s="37" t="n">
        <f aca="false">AVERAGE(N78:O78)</f>
        <v>3.1</v>
      </c>
      <c r="V78" s="23" t="str">
        <f aca="false">IF(S78&gt;='판정 기준'!$B$3,"H","L")&amp;IF(T78&gt;='판정 기준'!$B$3,"H","L")&amp;IF(U78&gt;='판정 기준'!$B$3,"H","L")</f>
        <v>LHL</v>
      </c>
      <c r="W78" s="36" t="str">
        <f aca="false">INDEX('포지션 정의'!$A$2:$A$9,MATCH(V78,'포지션 정의'!$D$2:$D$9,0))</f>
        <v>A</v>
      </c>
      <c r="X78" s="36" t="str">
        <f aca="false">INDEX('포지션 정의'!$B$2:$B$9,MATCH(V78,'포지션 정의'!$D$2:$D$9,0))</f>
        <v>섬세한 준비형</v>
      </c>
      <c r="Y78" s="43" t="str">
        <f aca="false">IF(AJ78="","가장 높은 지표: "&amp;AP78,LEFT(AJ78,LEN(AJ78)-2))</f>
        <v>사회적 도움 활용, 경기 준비 능력</v>
      </c>
      <c r="Z78" s="43" t="str">
        <f aca="false">IF(MAX(AK78:AO78)=0,"심화: "&amp;IF(N78=MIN(G78,Q78,K78,N78,P78),"실수 후 회복력",IF(K78=MIN(G78,Q78,K78,N78,P78),"경기 준비 능력",IF(G78=MIN(G78,Q78,K78,N78,P78),"경기긴장도",IF(P78=MIN(G78,Q78,K78,N78,P78),"자기 통제력","사회적 도움 활용")))),IF(MAX(AK78:AO78)&gt;='판정 기준'!$B$8-'판정 기준'!$B$4,IF(AN78=MAX(AK78:AO78),"실수 후 회복력",IF(AM78=MAX(AK78:AO78),"경기 준비 능력",IF(AK78=MAX(AK78:AO78),"경기긴장도",IF(AO78=MAX(AK78:AO78),"자기 통제력","사회적 도움 활용")))),IF(AN78&gt;0,"실수 후 회복력",IF(AM78&gt;0,"경기 준비 능력",IF(AK78&gt;0,"경기긴장도",IF(AO78&gt;0,"자기 통제력","사회적 도움 활용"))))))</f>
        <v>자기 통제력</v>
      </c>
      <c r="AA78" s="43" t="str">
        <f aca="false">INDEX('포지션 정의'!$L$2:$L$9,MATCH(V78,'포지션 정의'!$D$2:$D$9,0))</f>
        <v>로베르트 레반도프스키 · 제임스 밀너 · 마르틴 외데고르</v>
      </c>
      <c r="AB78" s="24" t="n">
        <f aca="false">ROUND(100*(1-SQRT(((S78-'포지션 정의'!$N$2)^2+(T78-'포지션 정의'!$O$2)^2+(U78-'포지션 정의'!$P$2)^2)/3)/'판정 기준'!$B$7),0)</f>
        <v>91</v>
      </c>
      <c r="AC78" s="24" t="n">
        <f aca="false">ROUND(100*(1-SQRT(((S78-'포지션 정의'!$N$3)^2+(T78-'포지션 정의'!$O$3)^2+(U78-'포지션 정의'!$P$3)^2)/3)/'판정 기준'!$B$7),0)</f>
        <v>85</v>
      </c>
      <c r="AD78" s="24" t="n">
        <f aca="false">ROUND(100*(1-SQRT(((S78-'포지션 정의'!$N$4)^2+(T78-'포지션 정의'!$O$4)^2+(U78-'포지션 정의'!$P$4)^2)/3)/'판정 기준'!$B$7),0)</f>
        <v>79</v>
      </c>
      <c r="AE78" s="24" t="n">
        <f aca="false">ROUND(100*(1-SQRT(((S78-'포지션 정의'!$N$5)^2+(T78-'포지션 정의'!$O$5)^2+(U78-'포지션 정의'!$P$5)^2)/3)/'판정 기준'!$B$7),0)</f>
        <v>69</v>
      </c>
      <c r="AF78" s="24" t="n">
        <f aca="false">ROUND(100*(1-SQRT(((S78-'포지션 정의'!$N$6)^2+(T78-'포지션 정의'!$O$6)^2+(U78-'포지션 정의'!$P$6)^2)/3)/'판정 기준'!$B$7),0)</f>
        <v>72</v>
      </c>
      <c r="AG78" s="24" t="n">
        <f aca="false">ROUND(100*(1-SQRT(((S78-'포지션 정의'!$N$7)^2+(T78-'포지션 정의'!$O$7)^2+(U78-'포지션 정의'!$P$7)^2)/3)/'판정 기준'!$B$7),0)</f>
        <v>75</v>
      </c>
      <c r="AH78" s="24" t="n">
        <f aca="false">ROUND(100*(1-SQRT(((S78-'포지션 정의'!$N$8)^2+(T78-'포지션 정의'!$O$8)^2+(U78-'포지션 정의'!$P$8)^2)/3)/'판정 기준'!$B$7),0)</f>
        <v>83</v>
      </c>
      <c r="AI78" s="24" t="n">
        <f aca="false">ROUND(100*(1-SQRT(((S78-'포지션 정의'!$N$9)^2+(T78-'포지션 정의'!$O$9)^2+(U78-'포지션 정의'!$P$9)^2)/3)/'판정 기준'!$B$7),0)</f>
        <v>73</v>
      </c>
      <c r="AJ78" s="23" t="str">
        <f aca="false">IF(G78&gt;='판정 기준'!$B$8,"경기긴장도, ","")&amp;IF(Q78&gt;='판정 기준'!$B$8,"사회적 도움 활용, ","")&amp;IF(K78&gt;='판정 기준'!$B$8,"경기 준비 능력, ","")&amp;IF(N78&gt;='판정 기준'!$B$8,"실수 후 회복력, ","")&amp;IF(P78&gt;='판정 기준'!$B$8,"자기 통제력, ","")</f>
        <v>사회적 도움 활용, 경기 준비 능력, </v>
      </c>
      <c r="AK78" s="23" t="n">
        <f aca="false">IF(AND(G78&lt;'판정 기준'!$B$8,OR(AJ78&lt;&gt;"",AP78&lt;&gt;"경기긴장도")),G78,0)</f>
        <v>4.1</v>
      </c>
      <c r="AL78" s="23" t="n">
        <f aca="false">IF(AND(Q78&lt;'판정 기준'!$B$8,OR(AJ78&lt;&gt;"",AP78&lt;&gt;"사회적 도움 활용")),Q78,0)</f>
        <v>0</v>
      </c>
      <c r="AM78" s="23" t="n">
        <f aca="false">IF(AND(K78&lt;'판정 기준'!$B$8,OR(AJ78&lt;&gt;"",AP78&lt;&gt;"경기 준비 능력")),K78,0)</f>
        <v>0</v>
      </c>
      <c r="AN78" s="23" t="n">
        <f aca="false">IF(AND(N78&lt;'판정 기준'!$B$8,OR(AJ78&lt;&gt;"",AP78&lt;&gt;"실수 후 회복력")),N78,0)</f>
        <v>3</v>
      </c>
      <c r="AO78" s="23" t="n">
        <f aca="false">IF(AND(P78&lt;'판정 기준'!$B$8,OR(AJ78&lt;&gt;"",AP78&lt;&gt;"자기 통제력")),P78,0)</f>
        <v>4.5</v>
      </c>
      <c r="AP78" s="23" t="str">
        <f aca="false">IF(Q78=MAX(G78,Q78,K78,N78,P78),"사회적 도움 활용",IF(P78=MAX(G78,Q78,K78,N78,P78),"자기 통제력",IF(G78=MAX(G78,Q78,K78,N78,P78),"경기긴장도",IF(K78=MAX(G78,Q78,K78,N78,P78),"경기 준비 능력","실수 후 회복력"))))</f>
        <v>사회적 도움 활용</v>
      </c>
    </row>
    <row r="79" customFormat="false" ht="17.15" hidden="false" customHeight="false" outlineLevel="0" collapsed="false">
      <c r="A79" s="13" t="s">
        <v>291</v>
      </c>
      <c r="B79" s="13" t="s">
        <v>187</v>
      </c>
      <c r="C79" s="13" t="s">
        <v>292</v>
      </c>
      <c r="D79" s="14" t="n">
        <v>46170</v>
      </c>
      <c r="E79" s="41" t="s">
        <v>198</v>
      </c>
      <c r="F79" s="42" t="n">
        <v>5</v>
      </c>
      <c r="G79" s="42" t="n">
        <v>5.1</v>
      </c>
      <c r="H79" s="42" t="n">
        <v>4.7</v>
      </c>
      <c r="I79" s="42" t="n">
        <v>5.2</v>
      </c>
      <c r="J79" s="42" t="n">
        <v>5</v>
      </c>
      <c r="K79" s="42" t="n">
        <v>4.8</v>
      </c>
      <c r="L79" s="42" t="n">
        <v>4.5</v>
      </c>
      <c r="M79" s="42" t="n">
        <v>5</v>
      </c>
      <c r="N79" s="42" t="n">
        <v>5.3</v>
      </c>
      <c r="O79" s="42" t="n">
        <v>5.5</v>
      </c>
      <c r="P79" s="42" t="n">
        <v>4.7</v>
      </c>
      <c r="Q79" s="42" t="n">
        <v>5</v>
      </c>
      <c r="R79" s="42" t="n">
        <v>5.7</v>
      </c>
      <c r="S79" s="37" t="n">
        <f aca="false">AVERAGE(G79:J79)</f>
        <v>5</v>
      </c>
      <c r="T79" s="37" t="n">
        <f aca="false">AVERAGE(K79:M79)</f>
        <v>4.76666666666667</v>
      </c>
      <c r="U79" s="37" t="n">
        <f aca="false">AVERAGE(N79:O79)</f>
        <v>5.4</v>
      </c>
      <c r="V79" s="23" t="str">
        <f aca="false">IF(S79&gt;='판정 기준'!$B$3,"H","L")&amp;IF(T79&gt;='판정 기준'!$B$3,"H","L")&amp;IF(U79&gt;='판정 기준'!$B$3,"H","L")</f>
        <v>HHH</v>
      </c>
      <c r="W79" s="36" t="str">
        <f aca="false">INDEX('포지션 정의'!$A$2:$A$9,MATCH(V79,'포지션 정의'!$D$2:$D$9,0))</f>
        <v>H</v>
      </c>
      <c r="X79" s="36" t="str">
        <f aca="false">INDEX('포지션 정의'!$B$2:$B$9,MATCH(V79,'포지션 정의'!$D$2:$D$9,0))</f>
        <v>올라운드 밸런스형</v>
      </c>
      <c r="Y79" s="43" t="str">
        <f aca="false">IF(AJ79="","가장 높은 지표: "&amp;AP79,LEFT(AJ79,LEN(AJ79)-2))</f>
        <v>경기긴장도, 사회적 도움 활용, 경기 준비 능력, 실수 후 회복력</v>
      </c>
      <c r="Z79" s="43" t="str">
        <f aca="false">IF(MAX(AK79:AO79)=0,"심화: "&amp;IF(N79=MIN(G79,Q79,K79,N79,P79),"실수 후 회복력",IF(K79=MIN(G79,Q79,K79,N79,P79),"경기 준비 능력",IF(G79=MIN(G79,Q79,K79,N79,P79),"경기긴장도",IF(P79=MIN(G79,Q79,K79,N79,P79),"자기 통제력","사회적 도움 활용")))),IF(MAX(AK79:AO79)&gt;='판정 기준'!$B$8-'판정 기준'!$B$4,IF(AN79=MAX(AK79:AO79),"실수 후 회복력",IF(AM79=MAX(AK79:AO79),"경기 준비 능력",IF(AK79=MAX(AK79:AO79),"경기긴장도",IF(AO79=MAX(AK79:AO79),"자기 통제력","사회적 도움 활용")))),IF(AN79&gt;0,"실수 후 회복력",IF(AM79&gt;0,"경기 준비 능력",IF(AK79&gt;0,"경기긴장도",IF(AO79&gt;0,"자기 통제력","사회적 도움 활용"))))))</f>
        <v>자기 통제력</v>
      </c>
      <c r="AA79" s="43" t="str">
        <f aca="false">INDEX('포지션 정의'!$L$2:$L$9,MATCH(V79,'포지션 정의'!$D$2:$D$9,0))</f>
        <v>크리스티아누 호날두 · 루카 모드리치 · 버질 반 다이크</v>
      </c>
      <c r="AB79" s="24" t="n">
        <f aca="false">ROUND(100*(1-SQRT(((S79-'포지션 정의'!$N$2)^2+(T79-'포지션 정의'!$O$2)^2+(U79-'포지션 정의'!$P$2)^2)/3)/'판정 기준'!$B$7),0)</f>
        <v>76</v>
      </c>
      <c r="AC79" s="24" t="n">
        <f aca="false">ROUND(100*(1-SQRT(((S79-'포지션 정의'!$N$3)^2+(T79-'포지션 정의'!$O$3)^2+(U79-'포지션 정의'!$P$3)^2)/3)/'판정 기준'!$B$7),0)</f>
        <v>81</v>
      </c>
      <c r="AD79" s="24" t="n">
        <f aca="false">ROUND(100*(1-SQRT(((S79-'포지션 정의'!$N$4)^2+(T79-'포지션 정의'!$O$4)^2+(U79-'포지션 정의'!$P$4)^2)/3)/'판정 기준'!$B$7),0)</f>
        <v>78</v>
      </c>
      <c r="AE79" s="24" t="n">
        <f aca="false">ROUND(100*(1-SQRT(((S79-'포지션 정의'!$N$5)^2+(T79-'포지션 정의'!$O$5)^2+(U79-'포지션 정의'!$P$5)^2)/3)/'판정 기준'!$B$7),0)</f>
        <v>88</v>
      </c>
      <c r="AF79" s="24" t="n">
        <f aca="false">ROUND(100*(1-SQRT(((S79-'포지션 정의'!$N$6)^2+(T79-'포지션 정의'!$O$6)^2+(U79-'포지션 정의'!$P$6)^2)/3)/'판정 기준'!$B$7),0)</f>
        <v>82</v>
      </c>
      <c r="AG79" s="24" t="n">
        <f aca="false">ROUND(100*(1-SQRT(((S79-'포지션 정의'!$N$7)^2+(T79-'포지션 정의'!$O$7)^2+(U79-'포지션 정의'!$P$7)^2)/3)/'판정 기준'!$B$7),0)</f>
        <v>85</v>
      </c>
      <c r="AH79" s="24" t="n">
        <f aca="false">ROUND(100*(1-SQRT(((S79-'포지션 정의'!$N$8)^2+(T79-'포지션 정의'!$O$8)^2+(U79-'포지션 정의'!$P$8)^2)/3)/'판정 기준'!$B$7),0)</f>
        <v>74</v>
      </c>
      <c r="AI79" s="24" t="n">
        <f aca="false">ROUND(100*(1-SQRT(((S79-'포지션 정의'!$N$9)^2+(T79-'포지션 정의'!$O$9)^2+(U79-'포지션 정의'!$P$9)^2)/3)/'판정 기준'!$B$7),0)</f>
        <v>94</v>
      </c>
      <c r="AJ79" s="23" t="str">
        <f aca="false">IF(G79&gt;='판정 기준'!$B$8,"경기긴장도, ","")&amp;IF(Q79&gt;='판정 기준'!$B$8,"사회적 도움 활용, ","")&amp;IF(K79&gt;='판정 기준'!$B$8,"경기 준비 능력, ","")&amp;IF(N79&gt;='판정 기준'!$B$8,"실수 후 회복력, ","")&amp;IF(P79&gt;='판정 기준'!$B$8,"자기 통제력, ","")</f>
        <v>경기긴장도, 사회적 도움 활용, 경기 준비 능력, 실수 후 회복력, </v>
      </c>
      <c r="AK79" s="23" t="n">
        <f aca="false">IF(AND(G79&lt;'판정 기준'!$B$8,OR(AJ79&lt;&gt;"",AP79&lt;&gt;"경기긴장도")),G79,0)</f>
        <v>0</v>
      </c>
      <c r="AL79" s="23" t="n">
        <f aca="false">IF(AND(Q79&lt;'판정 기준'!$B$8,OR(AJ79&lt;&gt;"",AP79&lt;&gt;"사회적 도움 활용")),Q79,0)</f>
        <v>0</v>
      </c>
      <c r="AM79" s="23" t="n">
        <f aca="false">IF(AND(K79&lt;'판정 기준'!$B$8,OR(AJ79&lt;&gt;"",AP79&lt;&gt;"경기 준비 능력")),K79,0)</f>
        <v>0</v>
      </c>
      <c r="AN79" s="23" t="n">
        <f aca="false">IF(AND(N79&lt;'판정 기준'!$B$8,OR(AJ79&lt;&gt;"",AP79&lt;&gt;"실수 후 회복력")),N79,0)</f>
        <v>0</v>
      </c>
      <c r="AO79" s="23" t="n">
        <f aca="false">IF(AND(P79&lt;'판정 기준'!$B$8,OR(AJ79&lt;&gt;"",AP79&lt;&gt;"자기 통제력")),P79,0)</f>
        <v>4.7</v>
      </c>
      <c r="AP79" s="23" t="str">
        <f aca="false">IF(Q79=MAX(G79,Q79,K79,N79,P79),"사회적 도움 활용",IF(P79=MAX(G79,Q79,K79,N79,P79),"자기 통제력",IF(G79=MAX(G79,Q79,K79,N79,P79),"경기긴장도",IF(K79=MAX(G79,Q79,K79,N79,P79),"경기 준비 능력","실수 후 회복력"))))</f>
        <v>실수 후 회복력</v>
      </c>
    </row>
    <row r="80" customFormat="false" ht="17.15" hidden="false" customHeight="false" outlineLevel="0" collapsed="false">
      <c r="A80" s="13" t="s">
        <v>293</v>
      </c>
      <c r="B80" s="13" t="s">
        <v>187</v>
      </c>
      <c r="C80" s="13" t="s">
        <v>292</v>
      </c>
      <c r="D80" s="14" t="n">
        <v>46170</v>
      </c>
      <c r="E80" s="41" t="s">
        <v>195</v>
      </c>
      <c r="F80" s="42" t="n">
        <v>4.4</v>
      </c>
      <c r="G80" s="42" t="n">
        <v>3.1</v>
      </c>
      <c r="H80" s="42" t="n">
        <v>2.7</v>
      </c>
      <c r="I80" s="42" t="n">
        <v>4.4</v>
      </c>
      <c r="J80" s="42" t="n">
        <v>2.7</v>
      </c>
      <c r="K80" s="42" t="n">
        <v>4.5</v>
      </c>
      <c r="L80" s="42" t="n">
        <v>4.3</v>
      </c>
      <c r="M80" s="42" t="n">
        <v>4.6</v>
      </c>
      <c r="N80" s="42" t="n">
        <v>5</v>
      </c>
      <c r="O80" s="42" t="n">
        <v>4.3</v>
      </c>
      <c r="P80" s="42" t="n">
        <v>4.8</v>
      </c>
      <c r="Q80" s="42" t="n">
        <v>4</v>
      </c>
      <c r="R80" s="42" t="n">
        <v>6</v>
      </c>
      <c r="S80" s="37" t="n">
        <f aca="false">AVERAGE(G80:J80)</f>
        <v>3.225</v>
      </c>
      <c r="T80" s="37" t="n">
        <f aca="false">AVERAGE(K80:M80)</f>
        <v>4.46666666666667</v>
      </c>
      <c r="U80" s="37" t="n">
        <f aca="false">AVERAGE(N80:O80)</f>
        <v>4.65</v>
      </c>
      <c r="V80" s="23" t="str">
        <f aca="false">IF(S80&gt;='판정 기준'!$B$3,"H","L")&amp;IF(T80&gt;='판정 기준'!$B$3,"H","L")&amp;IF(U80&gt;='판정 기준'!$B$3,"H","L")</f>
        <v>LLH</v>
      </c>
      <c r="W80" s="36" t="str">
        <f aca="false">INDEX('포지션 정의'!$A$2:$A$9,MATCH(V80,'포지션 정의'!$D$2:$D$9,0))</f>
        <v>E</v>
      </c>
      <c r="X80" s="36" t="str">
        <f aca="false">INDEX('포지션 정의'!$B$2:$B$9,MATCH(V80,'포지션 정의'!$D$2:$D$9,0))</f>
        <v>오뚝이 회복형</v>
      </c>
      <c r="Y80" s="43" t="str">
        <f aca="false">IF(AJ80="","가장 높은 지표: "&amp;AP80,LEFT(AJ80,LEN(AJ80)-2))</f>
        <v>실수 후 회복력, 자기 통제력</v>
      </c>
      <c r="Z80" s="43" t="str">
        <f aca="false">IF(MAX(AK80:AO80)=0,"심화: "&amp;IF(N80=MIN(G80,Q80,K80,N80,P80),"실수 후 회복력",IF(K80=MIN(G80,Q80,K80,N80,P80),"경기 준비 능력",IF(G80=MIN(G80,Q80,K80,N80,P80),"경기긴장도",IF(P80=MIN(G80,Q80,K80,N80,P80),"자기 통제력","사회적 도움 활용")))),IF(MAX(AK80:AO80)&gt;='판정 기준'!$B$8-'판정 기준'!$B$4,IF(AN80=MAX(AK80:AO80),"실수 후 회복력",IF(AM80=MAX(AK80:AO80),"경기 준비 능력",IF(AK80=MAX(AK80:AO80),"경기긴장도",IF(AO80=MAX(AK80:AO80),"자기 통제력","사회적 도움 활용")))),IF(AN80&gt;0,"실수 후 회복력",IF(AM80&gt;0,"경기 준비 능력",IF(AK80&gt;0,"경기긴장도",IF(AO80&gt;0,"자기 통제력","사회적 도움 활용"))))))</f>
        <v>경기 준비 능력</v>
      </c>
      <c r="AA80" s="43" t="str">
        <f aca="false">INDEX('포지션 정의'!$L$2:$L$9,MATCH(V80,'포지션 정의'!$D$2:$D$9,0))</f>
        <v>올리비에 지루 · 디에고 포를란 · 라다멜 팔카오</v>
      </c>
      <c r="AB80" s="24" t="n">
        <f aca="false">ROUND(100*(1-SQRT(((S80-'포지션 정의'!$N$2)^2+(T80-'포지션 정의'!$O$2)^2+(U80-'포지션 정의'!$P$2)^2)/3)/'판정 기준'!$B$7),0)</f>
        <v>85</v>
      </c>
      <c r="AC80" s="24" t="n">
        <f aca="false">ROUND(100*(1-SQRT(((S80-'포지션 정의'!$N$3)^2+(T80-'포지션 정의'!$O$3)^2+(U80-'포지션 정의'!$P$3)^2)/3)/'판정 기준'!$B$7),0)</f>
        <v>74</v>
      </c>
      <c r="AD80" s="24" t="n">
        <f aca="false">ROUND(100*(1-SQRT(((S80-'포지션 정의'!$N$4)^2+(T80-'포지션 정의'!$O$4)^2+(U80-'포지션 정의'!$P$4)^2)/3)/'판정 기준'!$B$7),0)</f>
        <v>74</v>
      </c>
      <c r="AE80" s="24" t="n">
        <f aca="false">ROUND(100*(1-SQRT(((S80-'포지션 정의'!$N$5)^2+(T80-'포지션 정의'!$O$5)^2+(U80-'포지션 정의'!$P$5)^2)/3)/'판정 기준'!$B$7),0)</f>
        <v>75</v>
      </c>
      <c r="AF80" s="24" t="n">
        <f aca="false">ROUND(100*(1-SQRT(((S80-'포지션 정의'!$N$6)^2+(T80-'포지션 정의'!$O$6)^2+(U80-'포지션 정의'!$P$6)^2)/3)/'판정 기준'!$B$7),0)</f>
        <v>88</v>
      </c>
      <c r="AG80" s="24" t="n">
        <f aca="false">ROUND(100*(1-SQRT(((S80-'포지션 정의'!$N$7)^2+(T80-'포지션 정의'!$O$7)^2+(U80-'포지션 정의'!$P$7)^2)/3)/'판정 기준'!$B$7),0)</f>
        <v>88</v>
      </c>
      <c r="AH80" s="24" t="n">
        <f aca="false">ROUND(100*(1-SQRT(((S80-'포지션 정의'!$N$8)^2+(T80-'포지션 정의'!$O$8)^2+(U80-'포지션 정의'!$P$8)^2)/3)/'판정 기준'!$B$7),0)</f>
        <v>86</v>
      </c>
      <c r="AI80" s="24" t="n">
        <f aca="false">ROUND(100*(1-SQRT(((S80-'포지션 정의'!$N$9)^2+(T80-'포지션 정의'!$O$9)^2+(U80-'포지션 정의'!$P$9)^2)/3)/'판정 기준'!$B$7),0)</f>
        <v>75</v>
      </c>
      <c r="AJ80" s="23" t="str">
        <f aca="false">IF(G80&gt;='판정 기준'!$B$8,"경기긴장도, ","")&amp;IF(Q80&gt;='판정 기준'!$B$8,"사회적 도움 활용, ","")&amp;IF(K80&gt;='판정 기준'!$B$8,"경기 준비 능력, ","")&amp;IF(N80&gt;='판정 기준'!$B$8,"실수 후 회복력, ","")&amp;IF(P80&gt;='판정 기준'!$B$8,"자기 통제력, ","")</f>
        <v>실수 후 회복력, 자기 통제력, </v>
      </c>
      <c r="AK80" s="23" t="n">
        <f aca="false">IF(AND(G80&lt;'판정 기준'!$B$8,OR(AJ80&lt;&gt;"",AP80&lt;&gt;"경기긴장도")),G80,0)</f>
        <v>3.1</v>
      </c>
      <c r="AL80" s="23" t="n">
        <f aca="false">IF(AND(Q80&lt;'판정 기준'!$B$8,OR(AJ80&lt;&gt;"",AP80&lt;&gt;"사회적 도움 활용")),Q80,0)</f>
        <v>4</v>
      </c>
      <c r="AM80" s="23" t="n">
        <f aca="false">IF(AND(K80&lt;'판정 기준'!$B$8,OR(AJ80&lt;&gt;"",AP80&lt;&gt;"경기 준비 능력")),K80,0)</f>
        <v>4.5</v>
      </c>
      <c r="AN80" s="23" t="n">
        <f aca="false">IF(AND(N80&lt;'판정 기준'!$B$8,OR(AJ80&lt;&gt;"",AP80&lt;&gt;"실수 후 회복력")),N80,0)</f>
        <v>0</v>
      </c>
      <c r="AO80" s="23" t="n">
        <f aca="false">IF(AND(P80&lt;'판정 기준'!$B$8,OR(AJ80&lt;&gt;"",AP80&lt;&gt;"자기 통제력")),P80,0)</f>
        <v>0</v>
      </c>
      <c r="AP80" s="23" t="str">
        <f aca="false">IF(Q80=MAX(G80,Q80,K80,N80,P80),"사회적 도움 활용",IF(P80=MAX(G80,Q80,K80,N80,P80),"자기 통제력",IF(G80=MAX(G80,Q80,K80,N80,P80),"경기긴장도",IF(K80=MAX(G80,Q80,K80,N80,P80),"경기 준비 능력","실수 후 회복력"))))</f>
        <v>실수 후 회복력</v>
      </c>
    </row>
    <row r="81" customFormat="false" ht="17.15" hidden="false" customHeight="false" outlineLevel="0" collapsed="false">
      <c r="A81" s="13" t="s">
        <v>294</v>
      </c>
      <c r="B81" s="13" t="s">
        <v>187</v>
      </c>
      <c r="C81" s="13" t="s">
        <v>292</v>
      </c>
      <c r="D81" s="14" t="n">
        <v>46170</v>
      </c>
      <c r="E81" s="41" t="s">
        <v>195</v>
      </c>
      <c r="F81" s="42" t="n">
        <v>5.1</v>
      </c>
      <c r="G81" s="42" t="n">
        <v>5</v>
      </c>
      <c r="H81" s="42" t="n">
        <v>4.8</v>
      </c>
      <c r="I81" s="42" t="n">
        <v>5.4</v>
      </c>
      <c r="J81" s="42" t="n">
        <v>4.8</v>
      </c>
      <c r="K81" s="42" t="n">
        <v>4.7</v>
      </c>
      <c r="L81" s="42" t="n">
        <v>4.8</v>
      </c>
      <c r="M81" s="42" t="n">
        <v>4.6</v>
      </c>
      <c r="N81" s="42" t="n">
        <v>6</v>
      </c>
      <c r="O81" s="42" t="n">
        <v>6</v>
      </c>
      <c r="P81" s="42" t="n">
        <v>4.5</v>
      </c>
      <c r="Q81" s="42" t="n">
        <v>5.6</v>
      </c>
      <c r="R81" s="42" t="n">
        <v>6</v>
      </c>
      <c r="S81" s="37" t="n">
        <f aca="false">AVERAGE(G81:J81)</f>
        <v>5</v>
      </c>
      <c r="T81" s="37" t="n">
        <f aca="false">AVERAGE(K81:M81)</f>
        <v>4.7</v>
      </c>
      <c r="U81" s="37" t="n">
        <f aca="false">AVERAGE(N81:O81)</f>
        <v>6</v>
      </c>
      <c r="V81" s="23" t="str">
        <f aca="false">IF(S81&gt;='판정 기준'!$B$3,"H","L")&amp;IF(T81&gt;='판정 기준'!$B$3,"H","L")&amp;IF(U81&gt;='판정 기준'!$B$3,"H","L")</f>
        <v>HHH</v>
      </c>
      <c r="W81" s="36" t="str">
        <f aca="false">INDEX('포지션 정의'!$A$2:$A$9,MATCH(V81,'포지션 정의'!$D$2:$D$9,0))</f>
        <v>H</v>
      </c>
      <c r="X81" s="36" t="str">
        <f aca="false">INDEX('포지션 정의'!$B$2:$B$9,MATCH(V81,'포지션 정의'!$D$2:$D$9,0))</f>
        <v>올라운드 밸런스형</v>
      </c>
      <c r="Y81" s="43" t="str">
        <f aca="false">IF(AJ81="","가장 높은 지표: "&amp;AP81,LEFT(AJ81,LEN(AJ81)-2))</f>
        <v>경기긴장도, 사회적 도움 활용, 실수 후 회복력</v>
      </c>
      <c r="Z81" s="43" t="str">
        <f aca="false">IF(MAX(AK81:AO81)=0,"심화: "&amp;IF(N81=MIN(G81,Q81,K81,N81,P81),"실수 후 회복력",IF(K81=MIN(G81,Q81,K81,N81,P81),"경기 준비 능력",IF(G81=MIN(G81,Q81,K81,N81,P81),"경기긴장도",IF(P81=MIN(G81,Q81,K81,N81,P81),"자기 통제력","사회적 도움 활용")))),IF(MAX(AK81:AO81)&gt;='판정 기준'!$B$8-'판정 기준'!$B$4,IF(AN81=MAX(AK81:AO81),"실수 후 회복력",IF(AM81=MAX(AK81:AO81),"경기 준비 능력",IF(AK81=MAX(AK81:AO81),"경기긴장도",IF(AO81=MAX(AK81:AO81),"자기 통제력","사회적 도움 활용")))),IF(AN81&gt;0,"실수 후 회복력",IF(AM81&gt;0,"경기 준비 능력",IF(AK81&gt;0,"경기긴장도",IF(AO81&gt;0,"자기 통제력","사회적 도움 활용"))))))</f>
        <v>경기 준비 능력</v>
      </c>
      <c r="AA81" s="43" t="str">
        <f aca="false">INDEX('포지션 정의'!$L$2:$L$9,MATCH(V81,'포지션 정의'!$D$2:$D$9,0))</f>
        <v>크리스티아누 호날두 · 루카 모드리치 · 버질 반 다이크</v>
      </c>
      <c r="AB81" s="24" t="n">
        <f aca="false">ROUND(100*(1-SQRT(((S81-'포지션 정의'!$N$2)^2+(T81-'포지션 정의'!$O$2)^2+(U81-'포지션 정의'!$P$2)^2)/3)/'판정 기준'!$B$7),0)</f>
        <v>70</v>
      </c>
      <c r="AC81" s="24" t="n">
        <f aca="false">ROUND(100*(1-SQRT(((S81-'포지션 정의'!$N$3)^2+(T81-'포지션 정의'!$O$3)^2+(U81-'포지션 정의'!$P$3)^2)/3)/'판정 기준'!$B$7),0)</f>
        <v>74</v>
      </c>
      <c r="AD81" s="24" t="n">
        <f aca="false">ROUND(100*(1-SQRT(((S81-'포지션 정의'!$N$4)^2+(T81-'포지션 정의'!$O$4)^2+(U81-'포지션 정의'!$P$4)^2)/3)/'판정 기준'!$B$7),0)</f>
        <v>72</v>
      </c>
      <c r="AE81" s="24" t="n">
        <f aca="false">ROUND(100*(1-SQRT(((S81-'포지션 정의'!$N$5)^2+(T81-'포지션 정의'!$O$5)^2+(U81-'포지션 정의'!$P$5)^2)/3)/'판정 기준'!$B$7),0)</f>
        <v>86</v>
      </c>
      <c r="AF81" s="24" t="n">
        <f aca="false">ROUND(100*(1-SQRT(((S81-'포지션 정의'!$N$6)^2+(T81-'포지션 정의'!$O$6)^2+(U81-'포지션 정의'!$P$6)^2)/3)/'판정 기준'!$B$7),0)</f>
        <v>80</v>
      </c>
      <c r="AG81" s="24" t="n">
        <f aca="false">ROUND(100*(1-SQRT(((S81-'포지션 정의'!$N$7)^2+(T81-'포지션 정의'!$O$7)^2+(U81-'포지션 정의'!$P$7)^2)/3)/'판정 기준'!$B$7),0)</f>
        <v>82</v>
      </c>
      <c r="AH81" s="24" t="n">
        <f aca="false">ROUND(100*(1-SQRT(((S81-'포지션 정의'!$N$8)^2+(T81-'포지션 정의'!$O$8)^2+(U81-'포지션 정의'!$P$8)^2)/3)/'판정 기준'!$B$7),0)</f>
        <v>69</v>
      </c>
      <c r="AI81" s="24" t="n">
        <f aca="false">ROUND(100*(1-SQRT(((S81-'포지션 정의'!$N$9)^2+(T81-'포지션 정의'!$O$9)^2+(U81-'포지션 정의'!$P$9)^2)/3)/'판정 기준'!$B$7),0)</f>
        <v>89</v>
      </c>
      <c r="AJ81" s="23" t="str">
        <f aca="false">IF(G81&gt;='판정 기준'!$B$8,"경기긴장도, ","")&amp;IF(Q81&gt;='판정 기준'!$B$8,"사회적 도움 활용, ","")&amp;IF(K81&gt;='판정 기준'!$B$8,"경기 준비 능력, ","")&amp;IF(N81&gt;='판정 기준'!$B$8,"실수 후 회복력, ","")&amp;IF(P81&gt;='판정 기준'!$B$8,"자기 통제력, ","")</f>
        <v>경기긴장도, 사회적 도움 활용, 실수 후 회복력, </v>
      </c>
      <c r="AK81" s="23" t="n">
        <f aca="false">IF(AND(G81&lt;'판정 기준'!$B$8,OR(AJ81&lt;&gt;"",AP81&lt;&gt;"경기긴장도")),G81,0)</f>
        <v>0</v>
      </c>
      <c r="AL81" s="23" t="n">
        <f aca="false">IF(AND(Q81&lt;'판정 기준'!$B$8,OR(AJ81&lt;&gt;"",AP81&lt;&gt;"사회적 도움 활용")),Q81,0)</f>
        <v>0</v>
      </c>
      <c r="AM81" s="23" t="n">
        <f aca="false">IF(AND(K81&lt;'판정 기준'!$B$8,OR(AJ81&lt;&gt;"",AP81&lt;&gt;"경기 준비 능력")),K81,0)</f>
        <v>4.7</v>
      </c>
      <c r="AN81" s="23" t="n">
        <f aca="false">IF(AND(N81&lt;'판정 기준'!$B$8,OR(AJ81&lt;&gt;"",AP81&lt;&gt;"실수 후 회복력")),N81,0)</f>
        <v>0</v>
      </c>
      <c r="AO81" s="23" t="n">
        <f aca="false">IF(AND(P81&lt;'판정 기준'!$B$8,OR(AJ81&lt;&gt;"",AP81&lt;&gt;"자기 통제력")),P81,0)</f>
        <v>4.5</v>
      </c>
      <c r="AP81" s="23" t="str">
        <f aca="false">IF(Q81=MAX(G81,Q81,K81,N81,P81),"사회적 도움 활용",IF(P81=MAX(G81,Q81,K81,N81,P81),"자기 통제력",IF(G81=MAX(G81,Q81,K81,N81,P81),"경기긴장도",IF(K81=MAX(G81,Q81,K81,N81,P81),"경기 준비 능력","실수 후 회복력"))))</f>
        <v>실수 후 회복력</v>
      </c>
    </row>
    <row r="82" customFormat="false" ht="17.15" hidden="false" customHeight="false" outlineLevel="0" collapsed="false">
      <c r="A82" s="13" t="s">
        <v>295</v>
      </c>
      <c r="B82" s="13" t="s">
        <v>187</v>
      </c>
      <c r="C82" s="13" t="s">
        <v>292</v>
      </c>
      <c r="D82" s="14" t="n">
        <v>46170</v>
      </c>
      <c r="E82" s="41" t="s">
        <v>198</v>
      </c>
      <c r="F82" s="42" t="n">
        <v>4.7</v>
      </c>
      <c r="G82" s="42" t="n">
        <v>4.8</v>
      </c>
      <c r="H82" s="42" t="n">
        <v>5.3</v>
      </c>
      <c r="I82" s="42" t="n">
        <v>5.6</v>
      </c>
      <c r="J82" s="42" t="n">
        <v>4.7</v>
      </c>
      <c r="K82" s="42" t="n">
        <v>4.6</v>
      </c>
      <c r="L82" s="42" t="n">
        <v>4.8</v>
      </c>
      <c r="M82" s="42" t="n">
        <v>4.4</v>
      </c>
      <c r="N82" s="42" t="n">
        <v>4.7</v>
      </c>
      <c r="O82" s="42" t="n">
        <v>5.7</v>
      </c>
      <c r="P82" s="42" t="n">
        <v>4.7</v>
      </c>
      <c r="Q82" s="42" t="n">
        <v>5.2</v>
      </c>
      <c r="R82" s="42" t="n">
        <v>5.7</v>
      </c>
      <c r="S82" s="37" t="n">
        <f aca="false">AVERAGE(G82:J82)</f>
        <v>5.1</v>
      </c>
      <c r="T82" s="37" t="n">
        <f aca="false">AVERAGE(K82:M82)</f>
        <v>4.6</v>
      </c>
      <c r="U82" s="37" t="n">
        <f aca="false">AVERAGE(N82:O82)</f>
        <v>5.2</v>
      </c>
      <c r="V82" s="23" t="str">
        <f aca="false">IF(S82&gt;='판정 기준'!$B$3,"H","L")&amp;IF(T82&gt;='판정 기준'!$B$3,"H","L")&amp;IF(U82&gt;='판정 기준'!$B$3,"H","L")</f>
        <v>HHH</v>
      </c>
      <c r="W82" s="36" t="str">
        <f aca="false">INDEX('포지션 정의'!$A$2:$A$9,MATCH(V82,'포지션 정의'!$D$2:$D$9,0))</f>
        <v>H</v>
      </c>
      <c r="X82" s="36" t="str">
        <f aca="false">INDEX('포지션 정의'!$B$2:$B$9,MATCH(V82,'포지션 정의'!$D$2:$D$9,0))</f>
        <v>올라운드 밸런스형</v>
      </c>
      <c r="Y82" s="43" t="str">
        <f aca="false">IF(AJ82="","가장 높은 지표: "&amp;AP82,LEFT(AJ82,LEN(AJ82)-2))</f>
        <v>경기긴장도, 사회적 도움 활용</v>
      </c>
      <c r="Z82" s="43" t="str">
        <f aca="false">IF(MAX(AK82:AO82)=0,"심화: "&amp;IF(N82=MIN(G82,Q82,K82,N82,P82),"실수 후 회복력",IF(K82=MIN(G82,Q82,K82,N82,P82),"경기 준비 능력",IF(G82=MIN(G82,Q82,K82,N82,P82),"경기긴장도",IF(P82=MIN(G82,Q82,K82,N82,P82),"자기 통제력","사회적 도움 활용")))),IF(MAX(AK82:AO82)&gt;='판정 기준'!$B$8-'판정 기준'!$B$4,IF(AN82=MAX(AK82:AO82),"실수 후 회복력",IF(AM82=MAX(AK82:AO82),"경기 준비 능력",IF(AK82=MAX(AK82:AO82),"경기긴장도",IF(AO82=MAX(AK82:AO82),"자기 통제력","사회적 도움 활용")))),IF(AN82&gt;0,"실수 후 회복력",IF(AM82&gt;0,"경기 준비 능력",IF(AK82&gt;0,"경기긴장도",IF(AO82&gt;0,"자기 통제력","사회적 도움 활용"))))))</f>
        <v>실수 후 회복력</v>
      </c>
      <c r="AA82" s="43" t="str">
        <f aca="false">INDEX('포지션 정의'!$L$2:$L$9,MATCH(V82,'포지션 정의'!$D$2:$D$9,0))</f>
        <v>크리스티아누 호날두 · 루카 모드리치 · 버질 반 다이크</v>
      </c>
      <c r="AB82" s="24" t="n">
        <f aca="false">ROUND(100*(1-SQRT(((S82-'포지션 정의'!$N$2)^2+(T82-'포지션 정의'!$O$2)^2+(U82-'포지션 정의'!$P$2)^2)/3)/'판정 기준'!$B$7),0)</f>
        <v>77</v>
      </c>
      <c r="AC82" s="24" t="n">
        <f aca="false">ROUND(100*(1-SQRT(((S82-'포지션 정의'!$N$3)^2+(T82-'포지션 정의'!$O$3)^2+(U82-'포지션 정의'!$P$3)^2)/3)/'판정 기준'!$B$7),0)</f>
        <v>82</v>
      </c>
      <c r="AD82" s="24" t="n">
        <f aca="false">ROUND(100*(1-SQRT(((S82-'포지션 정의'!$N$4)^2+(T82-'포지션 정의'!$O$4)^2+(U82-'포지션 정의'!$P$4)^2)/3)/'판정 기준'!$B$7),0)</f>
        <v>81</v>
      </c>
      <c r="AE82" s="24" t="n">
        <f aca="false">ROUND(100*(1-SQRT(((S82-'포지션 정의'!$N$5)^2+(T82-'포지션 정의'!$O$5)^2+(U82-'포지션 정의'!$P$5)^2)/3)/'판정 기준'!$B$7),0)</f>
        <v>91</v>
      </c>
      <c r="AF82" s="24" t="n">
        <f aca="false">ROUND(100*(1-SQRT(((S82-'포지션 정의'!$N$6)^2+(T82-'포지션 정의'!$O$6)^2+(U82-'포지션 정의'!$P$6)^2)/3)/'판정 기준'!$B$7),0)</f>
        <v>82</v>
      </c>
      <c r="AG82" s="24" t="n">
        <f aca="false">ROUND(100*(1-SQRT(((S82-'포지션 정의'!$N$7)^2+(T82-'포지션 정의'!$O$7)^2+(U82-'포지션 정의'!$P$7)^2)/3)/'판정 기준'!$B$7),0)</f>
        <v>83</v>
      </c>
      <c r="AH82" s="24" t="n">
        <f aca="false">ROUND(100*(1-SQRT(((S82-'포지션 정의'!$N$8)^2+(T82-'포지션 정의'!$O$8)^2+(U82-'포지션 정의'!$P$8)^2)/3)/'판정 기준'!$B$7),0)</f>
        <v>76</v>
      </c>
      <c r="AI82" s="24" t="n">
        <f aca="false">ROUND(100*(1-SQRT(((S82-'포지션 정의'!$N$9)^2+(T82-'포지션 정의'!$O$9)^2+(U82-'포지션 정의'!$P$9)^2)/3)/'판정 기준'!$B$7),0)</f>
        <v>93</v>
      </c>
      <c r="AJ82" s="23" t="str">
        <f aca="false">IF(G82&gt;='판정 기준'!$B$8,"경기긴장도, ","")&amp;IF(Q82&gt;='판정 기준'!$B$8,"사회적 도움 활용, ","")&amp;IF(K82&gt;='판정 기준'!$B$8,"경기 준비 능력, ","")&amp;IF(N82&gt;='판정 기준'!$B$8,"실수 후 회복력, ","")&amp;IF(P82&gt;='판정 기준'!$B$8,"자기 통제력, ","")</f>
        <v>경기긴장도, 사회적 도움 활용, </v>
      </c>
      <c r="AK82" s="23" t="n">
        <f aca="false">IF(AND(G82&lt;'판정 기준'!$B$8,OR(AJ82&lt;&gt;"",AP82&lt;&gt;"경기긴장도")),G82,0)</f>
        <v>0</v>
      </c>
      <c r="AL82" s="23" t="n">
        <f aca="false">IF(AND(Q82&lt;'판정 기준'!$B$8,OR(AJ82&lt;&gt;"",AP82&lt;&gt;"사회적 도움 활용")),Q82,0)</f>
        <v>0</v>
      </c>
      <c r="AM82" s="23" t="n">
        <f aca="false">IF(AND(K82&lt;'판정 기준'!$B$8,OR(AJ82&lt;&gt;"",AP82&lt;&gt;"경기 준비 능력")),K82,0)</f>
        <v>4.6</v>
      </c>
      <c r="AN82" s="23" t="n">
        <f aca="false">IF(AND(N82&lt;'판정 기준'!$B$8,OR(AJ82&lt;&gt;"",AP82&lt;&gt;"실수 후 회복력")),N82,0)</f>
        <v>4.7</v>
      </c>
      <c r="AO82" s="23" t="n">
        <f aca="false">IF(AND(P82&lt;'판정 기준'!$B$8,OR(AJ82&lt;&gt;"",AP82&lt;&gt;"자기 통제력")),P82,0)</f>
        <v>4.7</v>
      </c>
      <c r="AP82" s="23" t="str">
        <f aca="false">IF(Q82=MAX(G82,Q82,K82,N82,P82),"사회적 도움 활용",IF(P82=MAX(G82,Q82,K82,N82,P82),"자기 통제력",IF(G82=MAX(G82,Q82,K82,N82,P82),"경기긴장도",IF(K82=MAX(G82,Q82,K82,N82,P82),"경기 준비 능력","실수 후 회복력"))))</f>
        <v>사회적 도움 활용</v>
      </c>
    </row>
    <row r="83" customFormat="false" ht="17.15" hidden="false" customHeight="false" outlineLevel="0" collapsed="false">
      <c r="A83" s="13" t="s">
        <v>296</v>
      </c>
      <c r="B83" s="13" t="s">
        <v>187</v>
      </c>
      <c r="C83" s="13" t="s">
        <v>292</v>
      </c>
      <c r="D83" s="14" t="n">
        <v>46170</v>
      </c>
      <c r="E83" s="41" t="s">
        <v>198</v>
      </c>
      <c r="F83" s="42" t="n">
        <v>5.5</v>
      </c>
      <c r="G83" s="42" t="n">
        <v>4.8</v>
      </c>
      <c r="H83" s="42" t="n">
        <v>4.8</v>
      </c>
      <c r="I83" s="42" t="n">
        <v>4.2</v>
      </c>
      <c r="J83" s="42" t="n">
        <v>4.8</v>
      </c>
      <c r="K83" s="42" t="n">
        <v>5.8</v>
      </c>
      <c r="L83" s="42" t="n">
        <v>5.7</v>
      </c>
      <c r="M83" s="42" t="n">
        <v>5.9</v>
      </c>
      <c r="N83" s="42" t="n">
        <v>5.7</v>
      </c>
      <c r="O83" s="42" t="n">
        <v>5.5</v>
      </c>
      <c r="P83" s="42" t="n">
        <v>5.5</v>
      </c>
      <c r="Q83" s="42" t="n">
        <v>5.8</v>
      </c>
      <c r="R83" s="42" t="n">
        <v>6</v>
      </c>
      <c r="S83" s="37" t="n">
        <f aca="false">AVERAGE(G83:J83)</f>
        <v>4.65</v>
      </c>
      <c r="T83" s="37" t="n">
        <f aca="false">AVERAGE(K83:M83)</f>
        <v>5.8</v>
      </c>
      <c r="U83" s="37" t="n">
        <f aca="false">AVERAGE(N83:O83)</f>
        <v>5.6</v>
      </c>
      <c r="V83" s="23" t="str">
        <f aca="false">IF(S83&gt;='판정 기준'!$B$3,"H","L")&amp;IF(T83&gt;='판정 기준'!$B$3,"H","L")&amp;IF(U83&gt;='판정 기준'!$B$3,"H","L")</f>
        <v>HHH</v>
      </c>
      <c r="W83" s="36" t="str">
        <f aca="false">INDEX('포지션 정의'!$A$2:$A$9,MATCH(V83,'포지션 정의'!$D$2:$D$9,0))</f>
        <v>H</v>
      </c>
      <c r="X83" s="36" t="str">
        <f aca="false">INDEX('포지션 정의'!$B$2:$B$9,MATCH(V83,'포지션 정의'!$D$2:$D$9,0))</f>
        <v>올라운드 밸런스형</v>
      </c>
      <c r="Y83" s="43" t="str">
        <f aca="false">IF(AJ83="","가장 높은 지표: "&amp;AP83,LEFT(AJ83,LEN(AJ83)-2))</f>
        <v>경기긴장도, 사회적 도움 활용, 경기 준비 능력, 실수 후 회복력, 자기 통제력</v>
      </c>
      <c r="Z83" s="43" t="str">
        <f aca="false">IF(MAX(AK83:AO83)=0,"심화: "&amp;IF(N83=MIN(G83,Q83,K83,N83,P83),"실수 후 회복력",IF(K83=MIN(G83,Q83,K83,N83,P83),"경기 준비 능력",IF(G83=MIN(G83,Q83,K83,N83,P83),"경기긴장도",IF(P83=MIN(G83,Q83,K83,N83,P83),"자기 통제력","사회적 도움 활용")))),IF(MAX(AK83:AO83)&gt;='판정 기준'!$B$8-'판정 기준'!$B$4,IF(AN83=MAX(AK83:AO83),"실수 후 회복력",IF(AM83=MAX(AK83:AO83),"경기 준비 능력",IF(AK83=MAX(AK83:AO83),"경기긴장도",IF(AO83=MAX(AK83:AO83),"자기 통제력","사회적 도움 활용")))),IF(AN83&gt;0,"실수 후 회복력",IF(AM83&gt;0,"경기 준비 능력",IF(AK83&gt;0,"경기긴장도",IF(AO83&gt;0,"자기 통제력","사회적 도움 활용"))))))</f>
        <v>심화: 경기긴장도</v>
      </c>
      <c r="AA83" s="43" t="str">
        <f aca="false">INDEX('포지션 정의'!$L$2:$L$9,MATCH(V83,'포지션 정의'!$D$2:$D$9,0))</f>
        <v>크리스티아누 호날두 · 루카 모드리치 · 버질 반 다이크</v>
      </c>
      <c r="AB83" s="24" t="n">
        <f aca="false">ROUND(100*(1-SQRT(((S83-'포지션 정의'!$N$2)^2+(T83-'포지션 정의'!$O$2)^2+(U83-'포지션 정의'!$P$2)^2)/3)/'판정 기준'!$B$7),0)</f>
        <v>76</v>
      </c>
      <c r="AC83" s="24" t="n">
        <f aca="false">ROUND(100*(1-SQRT(((S83-'포지션 정의'!$N$3)^2+(T83-'포지션 정의'!$O$3)^2+(U83-'포지션 정의'!$P$3)^2)/3)/'판정 기준'!$B$7),0)</f>
        <v>77</v>
      </c>
      <c r="AD83" s="24" t="n">
        <f aca="false">ROUND(100*(1-SQRT(((S83-'포지션 정의'!$N$4)^2+(T83-'포지션 정의'!$O$4)^2+(U83-'포지션 정의'!$P$4)^2)/3)/'판정 기준'!$B$7),0)</f>
        <v>68</v>
      </c>
      <c r="AE83" s="24" t="n">
        <f aca="false">ROUND(100*(1-SQRT(((S83-'포지션 정의'!$N$5)^2+(T83-'포지션 정의'!$O$5)^2+(U83-'포지션 정의'!$P$5)^2)/3)/'판정 기준'!$B$7),0)</f>
        <v>76</v>
      </c>
      <c r="AF83" s="24" t="n">
        <f aca="false">ROUND(100*(1-SQRT(((S83-'포지션 정의'!$N$6)^2+(T83-'포지션 정의'!$O$6)^2+(U83-'포지션 정의'!$P$6)^2)/3)/'판정 기준'!$B$7),0)</f>
        <v>74</v>
      </c>
      <c r="AG83" s="24" t="n">
        <f aca="false">ROUND(100*(1-SQRT(((S83-'포지션 정의'!$N$7)^2+(T83-'포지션 정의'!$O$7)^2+(U83-'포지션 정의'!$P$7)^2)/3)/'판정 기준'!$B$7),0)</f>
        <v>87</v>
      </c>
      <c r="AH83" s="24" t="n">
        <f aca="false">ROUND(100*(1-SQRT(((S83-'포지션 정의'!$N$8)^2+(T83-'포지션 정의'!$O$8)^2+(U83-'포지션 정의'!$P$8)^2)/3)/'판정 기준'!$B$7),0)</f>
        <v>67</v>
      </c>
      <c r="AI83" s="24" t="n">
        <f aca="false">ROUND(100*(1-SQRT(((S83-'포지션 정의'!$N$9)^2+(T83-'포지션 정의'!$O$9)^2+(U83-'포지션 정의'!$P$9)^2)/3)/'판정 기준'!$B$7),0)</f>
        <v>90</v>
      </c>
      <c r="AJ83" s="23" t="str">
        <f aca="false">IF(G83&gt;='판정 기준'!$B$8,"경기긴장도, ","")&amp;IF(Q83&gt;='판정 기준'!$B$8,"사회적 도움 활용, ","")&amp;IF(K83&gt;='판정 기준'!$B$8,"경기 준비 능력, ","")&amp;IF(N83&gt;='판정 기준'!$B$8,"실수 후 회복력, ","")&amp;IF(P83&gt;='판정 기준'!$B$8,"자기 통제력, ","")</f>
        <v>경기긴장도, 사회적 도움 활용, 경기 준비 능력, 실수 후 회복력, 자기 통제력, </v>
      </c>
      <c r="AK83" s="23" t="n">
        <f aca="false">IF(AND(G83&lt;'판정 기준'!$B$8,OR(AJ83&lt;&gt;"",AP83&lt;&gt;"경기긴장도")),G83,0)</f>
        <v>0</v>
      </c>
      <c r="AL83" s="23" t="n">
        <f aca="false">IF(AND(Q83&lt;'판정 기준'!$B$8,OR(AJ83&lt;&gt;"",AP83&lt;&gt;"사회적 도움 활용")),Q83,0)</f>
        <v>0</v>
      </c>
      <c r="AM83" s="23" t="n">
        <f aca="false">IF(AND(K83&lt;'판정 기준'!$B$8,OR(AJ83&lt;&gt;"",AP83&lt;&gt;"경기 준비 능력")),K83,0)</f>
        <v>0</v>
      </c>
      <c r="AN83" s="23" t="n">
        <f aca="false">IF(AND(N83&lt;'판정 기준'!$B$8,OR(AJ83&lt;&gt;"",AP83&lt;&gt;"실수 후 회복력")),N83,0)</f>
        <v>0</v>
      </c>
      <c r="AO83" s="23" t="n">
        <f aca="false">IF(AND(P83&lt;'판정 기준'!$B$8,OR(AJ83&lt;&gt;"",AP83&lt;&gt;"자기 통제력")),P83,0)</f>
        <v>0</v>
      </c>
      <c r="AP83" s="23" t="str">
        <f aca="false">IF(Q83=MAX(G83,Q83,K83,N83,P83),"사회적 도움 활용",IF(P83=MAX(G83,Q83,K83,N83,P83),"자기 통제력",IF(G83=MAX(G83,Q83,K83,N83,P83),"경기긴장도",IF(K83=MAX(G83,Q83,K83,N83,P83),"경기 준비 능력","실수 후 회복력"))))</f>
        <v>사회적 도움 활용</v>
      </c>
    </row>
    <row r="84" customFormat="false" ht="17.15" hidden="false" customHeight="false" outlineLevel="0" collapsed="false">
      <c r="A84" s="13" t="s">
        <v>297</v>
      </c>
      <c r="B84" s="13" t="s">
        <v>187</v>
      </c>
      <c r="C84" s="13" t="s">
        <v>292</v>
      </c>
      <c r="D84" s="14" t="n">
        <v>46170</v>
      </c>
      <c r="E84" s="41" t="s">
        <v>198</v>
      </c>
      <c r="F84" s="42" t="n">
        <v>3.4</v>
      </c>
      <c r="G84" s="42" t="n">
        <v>2.9</v>
      </c>
      <c r="H84" s="42" t="n">
        <v>2.2</v>
      </c>
      <c r="I84" s="42" t="n">
        <v>3.6</v>
      </c>
      <c r="J84" s="42" t="n">
        <v>2.8</v>
      </c>
      <c r="K84" s="42" t="n">
        <v>3.7</v>
      </c>
      <c r="L84" s="42" t="n">
        <v>3.7</v>
      </c>
      <c r="M84" s="42" t="n">
        <v>3.7</v>
      </c>
      <c r="N84" s="42" t="n">
        <v>3</v>
      </c>
      <c r="O84" s="42" t="n">
        <v>3.3</v>
      </c>
      <c r="P84" s="42" t="n">
        <v>4.2</v>
      </c>
      <c r="Q84" s="42" t="n">
        <v>4.4</v>
      </c>
      <c r="R84" s="42" t="n">
        <v>4.3</v>
      </c>
      <c r="S84" s="37" t="n">
        <f aca="false">AVERAGE(G84:J84)</f>
        <v>2.875</v>
      </c>
      <c r="T84" s="37" t="n">
        <f aca="false">AVERAGE(K84:M84)</f>
        <v>3.7</v>
      </c>
      <c r="U84" s="37" t="n">
        <f aca="false">AVERAGE(N84:O84)</f>
        <v>3.15</v>
      </c>
      <c r="V84" s="23" t="str">
        <f aca="false">IF(S84&gt;='판정 기준'!$B$3,"H","L")&amp;IF(T84&gt;='판정 기준'!$B$3,"H","L")&amp;IF(U84&gt;='판정 기준'!$B$3,"H","L")</f>
        <v>LLL</v>
      </c>
      <c r="W84" s="36" t="str">
        <f aca="false">INDEX('포지션 정의'!$A$2:$A$9,MATCH(V84,'포지션 정의'!$D$2:$D$9,0))</f>
        <v>G</v>
      </c>
      <c r="X84" s="36" t="str">
        <f aca="false">INDEX('포지션 정의'!$B$2:$B$9,MATCH(V84,'포지션 정의'!$D$2:$D$9,0))</f>
        <v>스펀지 흡수형</v>
      </c>
      <c r="Y84" s="43" t="str">
        <f aca="false">IF(AJ84="","가장 높은 지표: "&amp;AP84,LEFT(AJ84,LEN(AJ84)-2))</f>
        <v>가장 높은 지표: 사회적 도움 활용</v>
      </c>
      <c r="Z84" s="43" t="str">
        <f aca="false">IF(MAX(AK84:AO84)=0,"심화: "&amp;IF(N84=MIN(G84,Q84,K84,N84,P84),"실수 후 회복력",IF(K84=MIN(G84,Q84,K84,N84,P84),"경기 준비 능력",IF(G84=MIN(G84,Q84,K84,N84,P84),"경기긴장도",IF(P84=MIN(G84,Q84,K84,N84,P84),"자기 통제력","사회적 도움 활용")))),IF(MAX(AK84:AO84)&gt;='판정 기준'!$B$8-'판정 기준'!$B$4,IF(AN84=MAX(AK84:AO84),"실수 후 회복력",IF(AM84=MAX(AK84:AO84),"경기 준비 능력",IF(AK84=MAX(AK84:AO84),"경기긴장도",IF(AO84=MAX(AK84:AO84),"자기 통제력","사회적 도움 활용")))),IF(AN84&gt;0,"실수 후 회복력",IF(AM84&gt;0,"경기 준비 능력",IF(AK84&gt;0,"경기긴장도",IF(AO84&gt;0,"자기 통제력","사회적 도움 활용"))))))</f>
        <v>실수 후 회복력</v>
      </c>
      <c r="AA84" s="43" t="str">
        <f aca="false">INDEX('포지션 정의'!$L$2:$L$9,MATCH(V84,'포지션 정의'!$D$2:$D$9,0))</f>
        <v>디디에 드로그바 · 앙투안 그리즈만 · 모하메드 살라</v>
      </c>
      <c r="AB84" s="24" t="n">
        <f aca="false">ROUND(100*(1-SQRT(((S84-'포지션 정의'!$N$2)^2+(T84-'포지션 정의'!$O$2)^2+(U84-'포지션 정의'!$P$2)^2)/3)/'판정 기준'!$B$7),0)</f>
        <v>78</v>
      </c>
      <c r="AC84" s="24" t="n">
        <f aca="false">ROUND(100*(1-SQRT(((S84-'포지션 정의'!$N$3)^2+(T84-'포지션 정의'!$O$3)^2+(U84-'포지션 정의'!$P$3)^2)/3)/'판정 기준'!$B$7),0)</f>
        <v>67</v>
      </c>
      <c r="AD84" s="24" t="n">
        <f aca="false">ROUND(100*(1-SQRT(((S84-'포지션 정의'!$N$4)^2+(T84-'포지션 정의'!$O$4)^2+(U84-'포지션 정의'!$P$4)^2)/3)/'판정 기준'!$B$7),0)</f>
        <v>72</v>
      </c>
      <c r="AE84" s="24" t="n">
        <f aca="false">ROUND(100*(1-SQRT(((S84-'포지션 정의'!$N$5)^2+(T84-'포지션 정의'!$O$5)^2+(U84-'포지션 정의'!$P$5)^2)/3)/'판정 기준'!$B$7),0)</f>
        <v>64</v>
      </c>
      <c r="AF84" s="24" t="n">
        <f aca="false">ROUND(100*(1-SQRT(((S84-'포지션 정의'!$N$6)^2+(T84-'포지션 정의'!$O$6)^2+(U84-'포지션 정의'!$P$6)^2)/3)/'판정 기준'!$B$7),0)</f>
        <v>74</v>
      </c>
      <c r="AG84" s="24" t="n">
        <f aca="false">ROUND(100*(1-SQRT(((S84-'포지션 정의'!$N$7)^2+(T84-'포지션 정의'!$O$7)^2+(U84-'포지션 정의'!$P$7)^2)/3)/'판정 기준'!$B$7),0)</f>
        <v>69</v>
      </c>
      <c r="AH84" s="24" t="n">
        <f aca="false">ROUND(100*(1-SQRT(((S84-'포지션 정의'!$N$8)^2+(T84-'포지션 정의'!$O$8)^2+(U84-'포지션 정의'!$P$8)^2)/3)/'판정 기준'!$B$7),0)</f>
        <v>87</v>
      </c>
      <c r="AI84" s="24" t="n">
        <f aca="false">ROUND(100*(1-SQRT(((S84-'포지션 정의'!$N$9)^2+(T84-'포지션 정의'!$O$9)^2+(U84-'포지션 정의'!$P$9)^2)/3)/'판정 기준'!$B$7),0)</f>
        <v>60</v>
      </c>
      <c r="AJ84" s="23" t="str">
        <f aca="false">IF(G84&gt;='판정 기준'!$B$8,"경기긴장도, ","")&amp;IF(Q84&gt;='판정 기준'!$B$8,"사회적 도움 활용, ","")&amp;IF(K84&gt;='판정 기준'!$B$8,"경기 준비 능력, ","")&amp;IF(N84&gt;='판정 기준'!$B$8,"실수 후 회복력, ","")&amp;IF(P84&gt;='판정 기준'!$B$8,"자기 통제력, ","")</f>
        <v/>
      </c>
      <c r="AK84" s="23" t="n">
        <f aca="false">IF(AND(G84&lt;'판정 기준'!$B$8,OR(AJ84&lt;&gt;"",AP84&lt;&gt;"경기긴장도")),G84,0)</f>
        <v>2.9</v>
      </c>
      <c r="AL84" s="23" t="n">
        <f aca="false">IF(AND(Q84&lt;'판정 기준'!$B$8,OR(AJ84&lt;&gt;"",AP84&lt;&gt;"사회적 도움 활용")),Q84,0)</f>
        <v>0</v>
      </c>
      <c r="AM84" s="23" t="n">
        <f aca="false">IF(AND(K84&lt;'판정 기준'!$B$8,OR(AJ84&lt;&gt;"",AP84&lt;&gt;"경기 준비 능력")),K84,0)</f>
        <v>3.7</v>
      </c>
      <c r="AN84" s="23" t="n">
        <f aca="false">IF(AND(N84&lt;'판정 기준'!$B$8,OR(AJ84&lt;&gt;"",AP84&lt;&gt;"실수 후 회복력")),N84,0)</f>
        <v>3</v>
      </c>
      <c r="AO84" s="23" t="n">
        <f aca="false">IF(AND(P84&lt;'판정 기준'!$B$8,OR(AJ84&lt;&gt;"",AP84&lt;&gt;"자기 통제력")),P84,0)</f>
        <v>4.2</v>
      </c>
      <c r="AP84" s="23" t="str">
        <f aca="false">IF(Q84=MAX(G84,Q84,K84,N84,P84),"사회적 도움 활용",IF(P84=MAX(G84,Q84,K84,N84,P84),"자기 통제력",IF(G84=MAX(G84,Q84,K84,N84,P84),"경기긴장도",IF(K84=MAX(G84,Q84,K84,N84,P84),"경기 준비 능력","실수 후 회복력"))))</f>
        <v>사회적 도움 활용</v>
      </c>
    </row>
    <row r="85" customFormat="false" ht="17.15" hidden="false" customHeight="false" outlineLevel="0" collapsed="false">
      <c r="A85" s="13" t="s">
        <v>298</v>
      </c>
      <c r="B85" s="13" t="s">
        <v>187</v>
      </c>
      <c r="C85" s="13" t="s">
        <v>292</v>
      </c>
      <c r="D85" s="14" t="n">
        <v>46170</v>
      </c>
      <c r="E85" s="41" t="s">
        <v>195</v>
      </c>
      <c r="F85" s="42" t="n">
        <v>4.2</v>
      </c>
      <c r="G85" s="42" t="n">
        <v>4</v>
      </c>
      <c r="H85" s="42" t="n">
        <v>3.2</v>
      </c>
      <c r="I85" s="42" t="n">
        <v>5</v>
      </c>
      <c r="J85" s="42" t="n">
        <v>3.5</v>
      </c>
      <c r="K85" s="42" t="n">
        <v>3.9</v>
      </c>
      <c r="L85" s="42" t="n">
        <v>3.8</v>
      </c>
      <c r="M85" s="42" t="n">
        <v>4</v>
      </c>
      <c r="N85" s="42" t="n">
        <v>4.3</v>
      </c>
      <c r="O85" s="42" t="n">
        <v>5</v>
      </c>
      <c r="P85" s="42" t="n">
        <v>4.5</v>
      </c>
      <c r="Q85" s="42" t="n">
        <v>5</v>
      </c>
      <c r="R85" s="42" t="n">
        <v>5.7</v>
      </c>
      <c r="S85" s="37" t="n">
        <f aca="false">AVERAGE(G85:J85)</f>
        <v>3.925</v>
      </c>
      <c r="T85" s="37" t="n">
        <f aca="false">AVERAGE(K85:M85)</f>
        <v>3.9</v>
      </c>
      <c r="U85" s="37" t="n">
        <f aca="false">AVERAGE(N85:O85)</f>
        <v>4.65</v>
      </c>
      <c r="V85" s="23" t="str">
        <f aca="false">IF(S85&gt;='판정 기준'!$B$3,"H","L")&amp;IF(T85&gt;='판정 기준'!$B$3,"H","L")&amp;IF(U85&gt;='판정 기준'!$B$3,"H","L")</f>
        <v>LLH</v>
      </c>
      <c r="W85" s="36" t="str">
        <f aca="false">INDEX('포지션 정의'!$A$2:$A$9,MATCH(V85,'포지션 정의'!$D$2:$D$9,0))</f>
        <v>E</v>
      </c>
      <c r="X85" s="36" t="str">
        <f aca="false">INDEX('포지션 정의'!$B$2:$B$9,MATCH(V85,'포지션 정의'!$D$2:$D$9,0))</f>
        <v>오뚝이 회복형</v>
      </c>
      <c r="Y85" s="43" t="str">
        <f aca="false">IF(AJ85="","가장 높은 지표: "&amp;AP85,LEFT(AJ85,LEN(AJ85)-2))</f>
        <v>사회적 도움 활용</v>
      </c>
      <c r="Z85" s="43" t="str">
        <f aca="false">IF(MAX(AK85:AO85)=0,"심화: "&amp;IF(N85=MIN(G85,Q85,K85,N85,P85),"실수 후 회복력",IF(K85=MIN(G85,Q85,K85,N85,P85),"경기 준비 능력",IF(G85=MIN(G85,Q85,K85,N85,P85),"경기긴장도",IF(P85=MIN(G85,Q85,K85,N85,P85),"자기 통제력","사회적 도움 활용")))),IF(MAX(AK85:AO85)&gt;='판정 기준'!$B$8-'판정 기준'!$B$4,IF(AN85=MAX(AK85:AO85),"실수 후 회복력",IF(AM85=MAX(AK85:AO85),"경기 준비 능력",IF(AK85=MAX(AK85:AO85),"경기긴장도",IF(AO85=MAX(AK85:AO85),"자기 통제력","사회적 도움 활용")))),IF(AN85&gt;0,"실수 후 회복력",IF(AM85&gt;0,"경기 준비 능력",IF(AK85&gt;0,"경기긴장도",IF(AO85&gt;0,"자기 통제력","사회적 도움 활용"))))))</f>
        <v>자기 통제력</v>
      </c>
      <c r="AA85" s="43" t="str">
        <f aca="false">INDEX('포지션 정의'!$L$2:$L$9,MATCH(V85,'포지션 정의'!$D$2:$D$9,0))</f>
        <v>올리비에 지루 · 디에고 포를란 · 라다멜 팔카오</v>
      </c>
      <c r="AB85" s="24" t="n">
        <f aca="false">ROUND(100*(1-SQRT(((S85-'포지션 정의'!$N$2)^2+(T85-'포지션 정의'!$O$2)^2+(U85-'포지션 정의'!$P$2)^2)/3)/'판정 기준'!$B$7),0)</f>
        <v>82</v>
      </c>
      <c r="AC85" s="24" t="n">
        <f aca="false">ROUND(100*(1-SQRT(((S85-'포지션 정의'!$N$3)^2+(T85-'포지션 정의'!$O$3)^2+(U85-'포지션 정의'!$P$3)^2)/3)/'판정 기준'!$B$7),0)</f>
        <v>77</v>
      </c>
      <c r="AD85" s="24" t="n">
        <f aca="false">ROUND(100*(1-SQRT(((S85-'포지션 정의'!$N$4)^2+(T85-'포지션 정의'!$O$4)^2+(U85-'포지션 정의'!$P$4)^2)/3)/'판정 기준'!$B$7),0)</f>
        <v>82</v>
      </c>
      <c r="AE85" s="24" t="n">
        <f aca="false">ROUND(100*(1-SQRT(((S85-'포지션 정의'!$N$5)^2+(T85-'포지션 정의'!$O$5)^2+(U85-'포지션 정의'!$P$5)^2)/3)/'판정 기준'!$B$7),0)</f>
        <v>84</v>
      </c>
      <c r="AF85" s="24" t="n">
        <f aca="false">ROUND(100*(1-SQRT(((S85-'포지션 정의'!$N$6)^2+(T85-'포지션 정의'!$O$6)^2+(U85-'포지션 정의'!$P$6)^2)/3)/'판정 기준'!$B$7),0)</f>
        <v>93</v>
      </c>
      <c r="AG85" s="24" t="n">
        <f aca="false">ROUND(100*(1-SQRT(((S85-'포지션 정의'!$N$7)^2+(T85-'포지션 정의'!$O$7)^2+(U85-'포지션 정의'!$P$7)^2)/3)/'판정 기준'!$B$7),0)</f>
        <v>84</v>
      </c>
      <c r="AH85" s="24" t="n">
        <f aca="false">ROUND(100*(1-SQRT(((S85-'포지션 정의'!$N$8)^2+(T85-'포지션 정의'!$O$8)^2+(U85-'포지션 정의'!$P$8)^2)/3)/'판정 기준'!$B$7),0)</f>
        <v>90</v>
      </c>
      <c r="AI85" s="24" t="n">
        <f aca="false">ROUND(100*(1-SQRT(((S85-'포지션 정의'!$N$9)^2+(T85-'포지션 정의'!$O$9)^2+(U85-'포지션 정의'!$P$9)^2)/3)/'판정 기준'!$B$7),0)</f>
        <v>78</v>
      </c>
      <c r="AJ85" s="23" t="str">
        <f aca="false">IF(G85&gt;='판정 기준'!$B$8,"경기긴장도, ","")&amp;IF(Q85&gt;='판정 기준'!$B$8,"사회적 도움 활용, ","")&amp;IF(K85&gt;='판정 기준'!$B$8,"경기 준비 능력, ","")&amp;IF(N85&gt;='판정 기준'!$B$8,"실수 후 회복력, ","")&amp;IF(P85&gt;='판정 기준'!$B$8,"자기 통제력, ","")</f>
        <v>사회적 도움 활용, </v>
      </c>
      <c r="AK85" s="23" t="n">
        <f aca="false">IF(AND(G85&lt;'판정 기준'!$B$8,OR(AJ85&lt;&gt;"",AP85&lt;&gt;"경기긴장도")),G85,0)</f>
        <v>4</v>
      </c>
      <c r="AL85" s="23" t="n">
        <f aca="false">IF(AND(Q85&lt;'판정 기준'!$B$8,OR(AJ85&lt;&gt;"",AP85&lt;&gt;"사회적 도움 활용")),Q85,0)</f>
        <v>0</v>
      </c>
      <c r="AM85" s="23" t="n">
        <f aca="false">IF(AND(K85&lt;'판정 기준'!$B$8,OR(AJ85&lt;&gt;"",AP85&lt;&gt;"경기 준비 능력")),K85,0)</f>
        <v>3.9</v>
      </c>
      <c r="AN85" s="23" t="n">
        <f aca="false">IF(AND(N85&lt;'판정 기준'!$B$8,OR(AJ85&lt;&gt;"",AP85&lt;&gt;"실수 후 회복력")),N85,0)</f>
        <v>4.3</v>
      </c>
      <c r="AO85" s="23" t="n">
        <f aca="false">IF(AND(P85&lt;'판정 기준'!$B$8,OR(AJ85&lt;&gt;"",AP85&lt;&gt;"자기 통제력")),P85,0)</f>
        <v>4.5</v>
      </c>
      <c r="AP85" s="23" t="str">
        <f aca="false">IF(Q85=MAX(G85,Q85,K85,N85,P85),"사회적 도움 활용",IF(P85=MAX(G85,Q85,K85,N85,P85),"자기 통제력",IF(G85=MAX(G85,Q85,K85,N85,P85),"경기긴장도",IF(K85=MAX(G85,Q85,K85,N85,P85),"경기 준비 능력","실수 후 회복력"))))</f>
        <v>사회적 도움 활용</v>
      </c>
    </row>
    <row r="86" customFormat="false" ht="17.15" hidden="false" customHeight="false" outlineLevel="0" collapsed="false">
      <c r="A86" s="13" t="s">
        <v>299</v>
      </c>
      <c r="B86" s="13" t="s">
        <v>187</v>
      </c>
      <c r="C86" s="13" t="s">
        <v>292</v>
      </c>
      <c r="D86" s="14" t="n">
        <v>46170</v>
      </c>
      <c r="E86" s="41" t="s">
        <v>195</v>
      </c>
      <c r="F86" s="42" t="n">
        <v>4</v>
      </c>
      <c r="G86" s="42" t="n">
        <v>4.1</v>
      </c>
      <c r="H86" s="42" t="n">
        <v>4.2</v>
      </c>
      <c r="I86" s="42" t="n">
        <v>4</v>
      </c>
      <c r="J86" s="42" t="n">
        <v>4.5</v>
      </c>
      <c r="K86" s="42" t="n">
        <v>3.8</v>
      </c>
      <c r="L86" s="42" t="n">
        <v>3.5</v>
      </c>
      <c r="M86" s="42" t="n">
        <v>4.1</v>
      </c>
      <c r="N86" s="42" t="n">
        <v>3.9</v>
      </c>
      <c r="O86" s="42" t="n">
        <v>4.5</v>
      </c>
      <c r="P86" s="42" t="n">
        <v>4.2</v>
      </c>
      <c r="Q86" s="42" t="n">
        <v>5</v>
      </c>
      <c r="R86" s="42" t="n">
        <v>4.3</v>
      </c>
      <c r="S86" s="37" t="n">
        <f aca="false">AVERAGE(G86:J86)</f>
        <v>4.2</v>
      </c>
      <c r="T86" s="37" t="n">
        <f aca="false">AVERAGE(K86:M86)</f>
        <v>3.8</v>
      </c>
      <c r="U86" s="37" t="n">
        <f aca="false">AVERAGE(N86:O86)</f>
        <v>4.2</v>
      </c>
      <c r="V86" s="23" t="str">
        <f aca="false">IF(S86&gt;='판정 기준'!$B$3,"H","L")&amp;IF(T86&gt;='판정 기준'!$B$3,"H","L")&amp;IF(U86&gt;='판정 기준'!$B$3,"H","L")</f>
        <v>LLL</v>
      </c>
      <c r="W86" s="36" t="str">
        <f aca="false">INDEX('포지션 정의'!$A$2:$A$9,MATCH(V86,'포지션 정의'!$D$2:$D$9,0))</f>
        <v>G</v>
      </c>
      <c r="X86" s="36" t="str">
        <f aca="false">INDEX('포지션 정의'!$B$2:$B$9,MATCH(V86,'포지션 정의'!$D$2:$D$9,0))</f>
        <v>스펀지 흡수형</v>
      </c>
      <c r="Y86" s="43" t="str">
        <f aca="false">IF(AJ86="","가장 높은 지표: "&amp;AP86,LEFT(AJ86,LEN(AJ86)-2))</f>
        <v>사회적 도움 활용</v>
      </c>
      <c r="Z86" s="43" t="str">
        <f aca="false">IF(MAX(AK86:AO86)=0,"심화: "&amp;IF(N86=MIN(G86,Q86,K86,N86,P86),"실수 후 회복력",IF(K86=MIN(G86,Q86,K86,N86,P86),"경기 준비 능력",IF(G86=MIN(G86,Q86,K86,N86,P86),"경기긴장도",IF(P86=MIN(G86,Q86,K86,N86,P86),"자기 통제력","사회적 도움 활용")))),IF(MAX(AK86:AO86)&gt;='판정 기준'!$B$8-'판정 기준'!$B$4,IF(AN86=MAX(AK86:AO86),"실수 후 회복력",IF(AM86=MAX(AK86:AO86),"경기 준비 능력",IF(AK86=MAX(AK86:AO86),"경기긴장도",IF(AO86=MAX(AK86:AO86),"자기 통제력","사회적 도움 활용")))),IF(AN86&gt;0,"실수 후 회복력",IF(AM86&gt;0,"경기 준비 능력",IF(AK86&gt;0,"경기긴장도",IF(AO86&gt;0,"자기 통제력","사회적 도움 활용"))))))</f>
        <v>실수 후 회복력</v>
      </c>
      <c r="AA86" s="43" t="str">
        <f aca="false">INDEX('포지션 정의'!$L$2:$L$9,MATCH(V86,'포지션 정의'!$D$2:$D$9,0))</f>
        <v>디디에 드로그바 · 앙투안 그리즈만 · 모하메드 살라</v>
      </c>
      <c r="AB86" s="24" t="n">
        <f aca="false">ROUND(100*(1-SQRT(((S86-'포지션 정의'!$N$2)^2+(T86-'포지션 정의'!$O$2)^2+(U86-'포지션 정의'!$P$2)^2)/3)/'판정 기준'!$B$7),0)</f>
        <v>83</v>
      </c>
      <c r="AC86" s="24" t="n">
        <f aca="false">ROUND(100*(1-SQRT(((S86-'포지션 정의'!$N$3)^2+(T86-'포지션 정의'!$O$3)^2+(U86-'포지션 정의'!$P$3)^2)/3)/'판정 기준'!$B$7),0)</f>
        <v>80</v>
      </c>
      <c r="AD86" s="24" t="n">
        <f aca="false">ROUND(100*(1-SQRT(((S86-'포지션 정의'!$N$4)^2+(T86-'포지션 정의'!$O$4)^2+(U86-'포지션 정의'!$P$4)^2)/3)/'판정 기준'!$B$7),0)</f>
        <v>88</v>
      </c>
      <c r="AE86" s="24" t="n">
        <f aca="false">ROUND(100*(1-SQRT(((S86-'포지션 정의'!$N$5)^2+(T86-'포지션 정의'!$O$5)^2+(U86-'포지션 정의'!$P$5)^2)/3)/'판정 기준'!$B$7),0)</f>
        <v>84</v>
      </c>
      <c r="AF86" s="24" t="n">
        <f aca="false">ROUND(100*(1-SQRT(((S86-'포지션 정의'!$N$6)^2+(T86-'포지션 정의'!$O$6)^2+(U86-'포지션 정의'!$P$6)^2)/3)/'판정 기준'!$B$7),0)</f>
        <v>88</v>
      </c>
      <c r="AG86" s="24" t="n">
        <f aca="false">ROUND(100*(1-SQRT(((S86-'포지션 정의'!$N$7)^2+(T86-'포지션 정의'!$O$7)^2+(U86-'포지션 정의'!$P$7)^2)/3)/'판정 기준'!$B$7),0)</f>
        <v>80</v>
      </c>
      <c r="AH86" s="24" t="n">
        <f aca="false">ROUND(100*(1-SQRT(((S86-'포지션 정의'!$N$8)^2+(T86-'포지션 정의'!$O$8)^2+(U86-'포지션 정의'!$P$8)^2)/3)/'판정 기준'!$B$7),0)</f>
        <v>93</v>
      </c>
      <c r="AI86" s="24" t="n">
        <f aca="false">ROUND(100*(1-SQRT(((S86-'포지션 정의'!$N$9)^2+(T86-'포지션 정의'!$O$9)^2+(U86-'포지션 정의'!$P$9)^2)/3)/'판정 기준'!$B$7),0)</f>
        <v>77</v>
      </c>
      <c r="AJ86" s="23" t="str">
        <f aca="false">IF(G86&gt;='판정 기준'!$B$8,"경기긴장도, ","")&amp;IF(Q86&gt;='판정 기준'!$B$8,"사회적 도움 활용, ","")&amp;IF(K86&gt;='판정 기준'!$B$8,"경기 준비 능력, ","")&amp;IF(N86&gt;='판정 기준'!$B$8,"실수 후 회복력, ","")&amp;IF(P86&gt;='판정 기준'!$B$8,"자기 통제력, ","")</f>
        <v>사회적 도움 활용, </v>
      </c>
      <c r="AK86" s="23" t="n">
        <f aca="false">IF(AND(G86&lt;'판정 기준'!$B$8,OR(AJ86&lt;&gt;"",AP86&lt;&gt;"경기긴장도")),G86,0)</f>
        <v>4.1</v>
      </c>
      <c r="AL86" s="23" t="n">
        <f aca="false">IF(AND(Q86&lt;'판정 기준'!$B$8,OR(AJ86&lt;&gt;"",AP86&lt;&gt;"사회적 도움 활용")),Q86,0)</f>
        <v>0</v>
      </c>
      <c r="AM86" s="23" t="n">
        <f aca="false">IF(AND(K86&lt;'판정 기준'!$B$8,OR(AJ86&lt;&gt;"",AP86&lt;&gt;"경기 준비 능력")),K86,0)</f>
        <v>3.8</v>
      </c>
      <c r="AN86" s="23" t="n">
        <f aca="false">IF(AND(N86&lt;'판정 기준'!$B$8,OR(AJ86&lt;&gt;"",AP86&lt;&gt;"실수 후 회복력")),N86,0)</f>
        <v>3.9</v>
      </c>
      <c r="AO86" s="23" t="n">
        <f aca="false">IF(AND(P86&lt;'판정 기준'!$B$8,OR(AJ86&lt;&gt;"",AP86&lt;&gt;"자기 통제력")),P86,0)</f>
        <v>4.2</v>
      </c>
      <c r="AP86" s="23" t="str">
        <f aca="false">IF(Q86=MAX(G86,Q86,K86,N86,P86),"사회적 도움 활용",IF(P86=MAX(G86,Q86,K86,N86,P86),"자기 통제력",IF(G86=MAX(G86,Q86,K86,N86,P86),"경기긴장도",IF(K86=MAX(G86,Q86,K86,N86,P86),"경기 준비 능력","실수 후 회복력"))))</f>
        <v>사회적 도움 활용</v>
      </c>
    </row>
    <row r="87" customFormat="false" ht="17.15" hidden="false" customHeight="false" outlineLevel="0" collapsed="false">
      <c r="A87" s="13" t="s">
        <v>300</v>
      </c>
      <c r="B87" s="13" t="s">
        <v>187</v>
      </c>
      <c r="C87" s="13" t="s">
        <v>292</v>
      </c>
      <c r="D87" s="14" t="n">
        <v>46170</v>
      </c>
      <c r="E87" s="41" t="s">
        <v>198</v>
      </c>
      <c r="F87" s="42" t="n">
        <v>3.7</v>
      </c>
      <c r="G87" s="42" t="n">
        <v>3.6</v>
      </c>
      <c r="H87" s="42" t="n">
        <v>4</v>
      </c>
      <c r="I87" s="42" t="n">
        <v>2.6</v>
      </c>
      <c r="J87" s="42" t="n">
        <v>3.5</v>
      </c>
      <c r="K87" s="42" t="n">
        <v>3.5</v>
      </c>
      <c r="L87" s="42" t="n">
        <v>3.2</v>
      </c>
      <c r="M87" s="42" t="n">
        <v>3.9</v>
      </c>
      <c r="N87" s="42" t="n">
        <v>4.4</v>
      </c>
      <c r="O87" s="42" t="n">
        <v>4.2</v>
      </c>
      <c r="P87" s="42" t="n">
        <v>3.2</v>
      </c>
      <c r="Q87" s="42" t="n">
        <v>4.8</v>
      </c>
      <c r="R87" s="42" t="n">
        <v>4</v>
      </c>
      <c r="S87" s="37" t="n">
        <f aca="false">AVERAGE(G87:J87)</f>
        <v>3.425</v>
      </c>
      <c r="T87" s="37" t="n">
        <f aca="false">AVERAGE(K87:M87)</f>
        <v>3.53333333333333</v>
      </c>
      <c r="U87" s="37" t="n">
        <f aca="false">AVERAGE(N87:O87)</f>
        <v>4.3</v>
      </c>
      <c r="V87" s="23" t="str">
        <f aca="false">IF(S87&gt;='판정 기준'!$B$3,"H","L")&amp;IF(T87&gt;='판정 기준'!$B$3,"H","L")&amp;IF(U87&gt;='판정 기준'!$B$3,"H","L")</f>
        <v>LLL</v>
      </c>
      <c r="W87" s="36" t="str">
        <f aca="false">INDEX('포지션 정의'!$A$2:$A$9,MATCH(V87,'포지션 정의'!$D$2:$D$9,0))</f>
        <v>G</v>
      </c>
      <c r="X87" s="36" t="str">
        <f aca="false">INDEX('포지션 정의'!$B$2:$B$9,MATCH(V87,'포지션 정의'!$D$2:$D$9,0))</f>
        <v>스펀지 흡수형</v>
      </c>
      <c r="Y87" s="43" t="str">
        <f aca="false">IF(AJ87="","가장 높은 지표: "&amp;AP87,LEFT(AJ87,LEN(AJ87)-2))</f>
        <v>사회적 도움 활용</v>
      </c>
      <c r="Z87" s="43" t="str">
        <f aca="false">IF(MAX(AK87:AO87)=0,"심화: "&amp;IF(N87=MIN(G87,Q87,K87,N87,P87),"실수 후 회복력",IF(K87=MIN(G87,Q87,K87,N87,P87),"경기 준비 능력",IF(G87=MIN(G87,Q87,K87,N87,P87),"경기긴장도",IF(P87=MIN(G87,Q87,K87,N87,P87),"자기 통제력","사회적 도움 활용")))),IF(MAX(AK87:AO87)&gt;='판정 기준'!$B$8-'판정 기준'!$B$4,IF(AN87=MAX(AK87:AO87),"실수 후 회복력",IF(AM87=MAX(AK87:AO87),"경기 준비 능력",IF(AK87=MAX(AK87:AO87),"경기긴장도",IF(AO87=MAX(AK87:AO87),"자기 통제력","사회적 도움 활용")))),IF(AN87&gt;0,"실수 후 회복력",IF(AM87&gt;0,"경기 준비 능력",IF(AK87&gt;0,"경기긴장도",IF(AO87&gt;0,"자기 통제력","사회적 도움 활용"))))))</f>
        <v>실수 후 회복력</v>
      </c>
      <c r="AA87" s="43" t="str">
        <f aca="false">INDEX('포지션 정의'!$L$2:$L$9,MATCH(V87,'포지션 정의'!$D$2:$D$9,0))</f>
        <v>디디에 드로그바 · 앙투안 그리즈만 · 모하메드 살라</v>
      </c>
      <c r="AB87" s="24" t="n">
        <f aca="false">ROUND(100*(1-SQRT(((S87-'포지션 정의'!$N$2)^2+(T87-'포지션 정의'!$O$2)^2+(U87-'포지션 정의'!$P$2)^2)/3)/'판정 기준'!$B$7),0)</f>
        <v>79</v>
      </c>
      <c r="AC87" s="24" t="n">
        <f aca="false">ROUND(100*(1-SQRT(((S87-'포지션 정의'!$N$3)^2+(T87-'포지션 정의'!$O$3)^2+(U87-'포지션 정의'!$P$3)^2)/3)/'판정 기준'!$B$7),0)</f>
        <v>71</v>
      </c>
      <c r="AD87" s="24" t="n">
        <f aca="false">ROUND(100*(1-SQRT(((S87-'포지션 정의'!$N$4)^2+(T87-'포지션 정의'!$O$4)^2+(U87-'포지션 정의'!$P$4)^2)/3)/'판정 기준'!$B$7),0)</f>
        <v>78</v>
      </c>
      <c r="AE87" s="24" t="n">
        <f aca="false">ROUND(100*(1-SQRT(((S87-'포지션 정의'!$N$5)^2+(T87-'포지션 정의'!$O$5)^2+(U87-'포지션 정의'!$P$5)^2)/3)/'판정 기준'!$B$7),0)</f>
        <v>77</v>
      </c>
      <c r="AF87" s="24" t="n">
        <f aca="false">ROUND(100*(1-SQRT(((S87-'포지션 정의'!$N$6)^2+(T87-'포지션 정의'!$O$6)^2+(U87-'포지션 정의'!$P$6)^2)/3)/'판정 기준'!$B$7),0)</f>
        <v>88</v>
      </c>
      <c r="AG87" s="24" t="n">
        <f aca="false">ROUND(100*(1-SQRT(((S87-'포지션 정의'!$N$7)^2+(T87-'포지션 정의'!$O$7)^2+(U87-'포지션 정의'!$P$7)^2)/3)/'판정 기준'!$B$7),0)</f>
        <v>78</v>
      </c>
      <c r="AH87" s="24" t="n">
        <f aca="false">ROUND(100*(1-SQRT(((S87-'포지션 정의'!$N$8)^2+(T87-'포지션 정의'!$O$8)^2+(U87-'포지션 정의'!$P$8)^2)/3)/'판정 기준'!$B$7),0)</f>
        <v>92</v>
      </c>
      <c r="AI87" s="24" t="n">
        <f aca="false">ROUND(100*(1-SQRT(((S87-'포지션 정의'!$N$9)^2+(T87-'포지션 정의'!$O$9)^2+(U87-'포지션 정의'!$P$9)^2)/3)/'판정 기준'!$B$7),0)</f>
        <v>70</v>
      </c>
      <c r="AJ87" s="23" t="str">
        <f aca="false">IF(G87&gt;='판정 기준'!$B$8,"경기긴장도, ","")&amp;IF(Q87&gt;='판정 기준'!$B$8,"사회적 도움 활용, ","")&amp;IF(K87&gt;='판정 기준'!$B$8,"경기 준비 능력, ","")&amp;IF(N87&gt;='판정 기준'!$B$8,"실수 후 회복력, ","")&amp;IF(P87&gt;='판정 기준'!$B$8,"자기 통제력, ","")</f>
        <v>사회적 도움 활용, </v>
      </c>
      <c r="AK87" s="23" t="n">
        <f aca="false">IF(AND(G87&lt;'판정 기준'!$B$8,OR(AJ87&lt;&gt;"",AP87&lt;&gt;"경기긴장도")),G87,0)</f>
        <v>3.6</v>
      </c>
      <c r="AL87" s="23" t="n">
        <f aca="false">IF(AND(Q87&lt;'판정 기준'!$B$8,OR(AJ87&lt;&gt;"",AP87&lt;&gt;"사회적 도움 활용")),Q87,0)</f>
        <v>0</v>
      </c>
      <c r="AM87" s="23" t="n">
        <f aca="false">IF(AND(K87&lt;'판정 기준'!$B$8,OR(AJ87&lt;&gt;"",AP87&lt;&gt;"경기 준비 능력")),K87,0)</f>
        <v>3.5</v>
      </c>
      <c r="AN87" s="23" t="n">
        <f aca="false">IF(AND(N87&lt;'판정 기준'!$B$8,OR(AJ87&lt;&gt;"",AP87&lt;&gt;"실수 후 회복력")),N87,0)</f>
        <v>4.4</v>
      </c>
      <c r="AO87" s="23" t="n">
        <f aca="false">IF(AND(P87&lt;'판정 기준'!$B$8,OR(AJ87&lt;&gt;"",AP87&lt;&gt;"자기 통제력")),P87,0)</f>
        <v>3.2</v>
      </c>
      <c r="AP87" s="23" t="str">
        <f aca="false">IF(Q87=MAX(G87,Q87,K87,N87,P87),"사회적 도움 활용",IF(P87=MAX(G87,Q87,K87,N87,P87),"자기 통제력",IF(G87=MAX(G87,Q87,K87,N87,P87),"경기긴장도",IF(K87=MAX(G87,Q87,K87,N87,P87),"경기 준비 능력","실수 후 회복력"))))</f>
        <v>사회적 도움 활용</v>
      </c>
    </row>
    <row r="88" customFormat="false" ht="17.15" hidden="false" customHeight="false" outlineLevel="0" collapsed="false">
      <c r="A88" s="13" t="s">
        <v>219</v>
      </c>
      <c r="B88" s="13" t="s">
        <v>187</v>
      </c>
      <c r="C88" s="13" t="s">
        <v>292</v>
      </c>
      <c r="D88" s="14" t="n">
        <v>46169</v>
      </c>
      <c r="E88" s="41" t="s">
        <v>198</v>
      </c>
      <c r="F88" s="42" t="n">
        <v>5</v>
      </c>
      <c r="G88" s="42" t="n">
        <v>4.9</v>
      </c>
      <c r="H88" s="42" t="n">
        <v>4.8</v>
      </c>
      <c r="I88" s="42" t="n">
        <v>5</v>
      </c>
      <c r="J88" s="42" t="n">
        <v>5</v>
      </c>
      <c r="K88" s="42" t="n">
        <v>4.6</v>
      </c>
      <c r="L88" s="42" t="n">
        <v>4.7</v>
      </c>
      <c r="M88" s="42" t="n">
        <v>4.6</v>
      </c>
      <c r="N88" s="42" t="n">
        <v>5.3</v>
      </c>
      <c r="O88" s="42" t="n">
        <v>5.3</v>
      </c>
      <c r="P88" s="42" t="n">
        <v>5</v>
      </c>
      <c r="Q88" s="42" t="n">
        <v>5.6</v>
      </c>
      <c r="R88" s="42" t="n">
        <v>5.7</v>
      </c>
      <c r="S88" s="37" t="n">
        <f aca="false">AVERAGE(G88:J88)</f>
        <v>4.925</v>
      </c>
      <c r="T88" s="37" t="n">
        <f aca="false">AVERAGE(K88:M88)</f>
        <v>4.63333333333333</v>
      </c>
      <c r="U88" s="37" t="n">
        <f aca="false">AVERAGE(N88:O88)</f>
        <v>5.3</v>
      </c>
      <c r="V88" s="23" t="str">
        <f aca="false">IF(S88&gt;='판정 기준'!$B$3,"H","L")&amp;IF(T88&gt;='판정 기준'!$B$3,"H","L")&amp;IF(U88&gt;='판정 기준'!$B$3,"H","L")</f>
        <v>HHH</v>
      </c>
      <c r="W88" s="36" t="str">
        <f aca="false">INDEX('포지션 정의'!$A$2:$A$9,MATCH(V88,'포지션 정의'!$D$2:$D$9,0))</f>
        <v>H</v>
      </c>
      <c r="X88" s="36" t="str">
        <f aca="false">INDEX('포지션 정의'!$B$2:$B$9,MATCH(V88,'포지션 정의'!$D$2:$D$9,0))</f>
        <v>올라운드 밸런스형</v>
      </c>
      <c r="Y88" s="43" t="str">
        <f aca="false">IF(AJ88="","가장 높은 지표: "&amp;AP88,LEFT(AJ88,LEN(AJ88)-2))</f>
        <v>경기긴장도, 사회적 도움 활용, 실수 후 회복력, 자기 통제력</v>
      </c>
      <c r="Z88" s="43" t="str">
        <f aca="false">IF(MAX(AK88:AO88)=0,"심화: "&amp;IF(N88=MIN(G88,Q88,K88,N88,P88),"실수 후 회복력",IF(K88=MIN(G88,Q88,K88,N88,P88),"경기 준비 능력",IF(G88=MIN(G88,Q88,K88,N88,P88),"경기긴장도",IF(P88=MIN(G88,Q88,K88,N88,P88),"자기 통제력","사회적 도움 활용")))),IF(MAX(AK88:AO88)&gt;='판정 기준'!$B$8-'판정 기준'!$B$4,IF(AN88=MAX(AK88:AO88),"실수 후 회복력",IF(AM88=MAX(AK88:AO88),"경기 준비 능력",IF(AK88=MAX(AK88:AO88),"경기긴장도",IF(AO88=MAX(AK88:AO88),"자기 통제력","사회적 도움 활용")))),IF(AN88&gt;0,"실수 후 회복력",IF(AM88&gt;0,"경기 준비 능력",IF(AK88&gt;0,"경기긴장도",IF(AO88&gt;0,"자기 통제력","사회적 도움 활용"))))))</f>
        <v>경기 준비 능력</v>
      </c>
      <c r="AA88" s="43" t="str">
        <f aca="false">INDEX('포지션 정의'!$L$2:$L$9,MATCH(V88,'포지션 정의'!$D$2:$D$9,0))</f>
        <v>크리스티아누 호날두 · 루카 모드리치 · 버질 반 다이크</v>
      </c>
      <c r="AB88" s="24" t="n">
        <f aca="false">ROUND(100*(1-SQRT(((S88-'포지션 정의'!$N$2)^2+(T88-'포지션 정의'!$O$2)^2+(U88-'포지션 정의'!$P$2)^2)/3)/'판정 기준'!$B$7),0)</f>
        <v>77</v>
      </c>
      <c r="AC88" s="24" t="n">
        <f aca="false">ROUND(100*(1-SQRT(((S88-'포지션 정의'!$N$3)^2+(T88-'포지션 정의'!$O$3)^2+(U88-'포지션 정의'!$P$3)^2)/3)/'판정 기준'!$B$7),0)</f>
        <v>81</v>
      </c>
      <c r="AD88" s="24" t="n">
        <f aca="false">ROUND(100*(1-SQRT(((S88-'포지션 정의'!$N$4)^2+(T88-'포지션 정의'!$O$4)^2+(U88-'포지션 정의'!$P$4)^2)/3)/'판정 기준'!$B$7),0)</f>
        <v>80</v>
      </c>
      <c r="AE88" s="24" t="n">
        <f aca="false">ROUND(100*(1-SQRT(((S88-'포지션 정의'!$N$5)^2+(T88-'포지션 정의'!$O$5)^2+(U88-'포지션 정의'!$P$5)^2)/3)/'판정 기준'!$B$7),0)</f>
        <v>90</v>
      </c>
      <c r="AF88" s="24" t="n">
        <f aca="false">ROUND(100*(1-SQRT(((S88-'포지션 정의'!$N$6)^2+(T88-'포지션 정의'!$O$6)^2+(U88-'포지션 정의'!$P$6)^2)/3)/'판정 기준'!$B$7),0)</f>
        <v>84</v>
      </c>
      <c r="AG88" s="24" t="n">
        <f aca="false">ROUND(100*(1-SQRT(((S88-'포지션 정의'!$N$7)^2+(T88-'포지션 정의'!$O$7)^2+(U88-'포지션 정의'!$P$7)^2)/3)/'판정 기준'!$B$7),0)</f>
        <v>85</v>
      </c>
      <c r="AH88" s="24" t="n">
        <f aca="false">ROUND(100*(1-SQRT(((S88-'포지션 정의'!$N$8)^2+(T88-'포지션 정의'!$O$8)^2+(U88-'포지션 정의'!$P$8)^2)/3)/'판정 기준'!$B$7),0)</f>
        <v>76</v>
      </c>
      <c r="AI88" s="24" t="n">
        <f aca="false">ROUND(100*(1-SQRT(((S88-'포지션 정의'!$N$9)^2+(T88-'포지션 정의'!$O$9)^2+(U88-'포지션 정의'!$P$9)^2)/3)/'판정 기준'!$B$7),0)</f>
        <v>93</v>
      </c>
      <c r="AJ88" s="23" t="str">
        <f aca="false">IF(G88&gt;='판정 기준'!$B$8,"경기긴장도, ","")&amp;IF(Q88&gt;='판정 기준'!$B$8,"사회적 도움 활용, ","")&amp;IF(K88&gt;='판정 기준'!$B$8,"경기 준비 능력, ","")&amp;IF(N88&gt;='판정 기준'!$B$8,"실수 후 회복력, ","")&amp;IF(P88&gt;='판정 기준'!$B$8,"자기 통제력, ","")</f>
        <v>경기긴장도, 사회적 도움 활용, 실수 후 회복력, 자기 통제력, </v>
      </c>
      <c r="AK88" s="23" t="n">
        <f aca="false">IF(AND(G88&lt;'판정 기준'!$B$8,OR(AJ88&lt;&gt;"",AP88&lt;&gt;"경기긴장도")),G88,0)</f>
        <v>0</v>
      </c>
      <c r="AL88" s="23" t="n">
        <f aca="false">IF(AND(Q88&lt;'판정 기준'!$B$8,OR(AJ88&lt;&gt;"",AP88&lt;&gt;"사회적 도움 활용")),Q88,0)</f>
        <v>0</v>
      </c>
      <c r="AM88" s="23" t="n">
        <f aca="false">IF(AND(K88&lt;'판정 기준'!$B$8,OR(AJ88&lt;&gt;"",AP88&lt;&gt;"경기 준비 능력")),K88,0)</f>
        <v>4.6</v>
      </c>
      <c r="AN88" s="23" t="n">
        <f aca="false">IF(AND(N88&lt;'판정 기준'!$B$8,OR(AJ88&lt;&gt;"",AP88&lt;&gt;"실수 후 회복력")),N88,0)</f>
        <v>0</v>
      </c>
      <c r="AO88" s="23" t="n">
        <f aca="false">IF(AND(P88&lt;'판정 기준'!$B$8,OR(AJ88&lt;&gt;"",AP88&lt;&gt;"자기 통제력")),P88,0)</f>
        <v>0</v>
      </c>
      <c r="AP88" s="23" t="str">
        <f aca="false">IF(Q88=MAX(G88,Q88,K88,N88,P88),"사회적 도움 활용",IF(P88=MAX(G88,Q88,K88,N88,P88),"자기 통제력",IF(G88=MAX(G88,Q88,K88,N88,P88),"경기긴장도",IF(K88=MAX(G88,Q88,K88,N88,P88),"경기 준비 능력","실수 후 회복력"))))</f>
        <v>사회적 도움 활용</v>
      </c>
    </row>
    <row r="89" customFormat="false" ht="17.15" hidden="false" customHeight="false" outlineLevel="0" collapsed="false">
      <c r="A89" s="13" t="s">
        <v>301</v>
      </c>
      <c r="B89" s="13" t="s">
        <v>187</v>
      </c>
      <c r="C89" s="13" t="s">
        <v>292</v>
      </c>
      <c r="D89" s="14" t="n">
        <v>46169</v>
      </c>
      <c r="E89" s="41" t="s">
        <v>198</v>
      </c>
      <c r="F89" s="42" t="n">
        <v>4.7</v>
      </c>
      <c r="G89" s="42" t="n">
        <v>4.4</v>
      </c>
      <c r="H89" s="42" t="n">
        <v>5</v>
      </c>
      <c r="I89" s="42" t="n">
        <v>5</v>
      </c>
      <c r="J89" s="42" t="n">
        <v>4.2</v>
      </c>
      <c r="K89" s="42" t="n">
        <v>4.5</v>
      </c>
      <c r="L89" s="42" t="n">
        <v>4.2</v>
      </c>
      <c r="M89" s="42" t="n">
        <v>4.9</v>
      </c>
      <c r="N89" s="42" t="n">
        <v>5.4</v>
      </c>
      <c r="O89" s="42" t="n">
        <v>5.3</v>
      </c>
      <c r="P89" s="42" t="n">
        <v>4.3</v>
      </c>
      <c r="Q89" s="42" t="n">
        <v>4</v>
      </c>
      <c r="R89" s="42" t="n">
        <v>5.7</v>
      </c>
      <c r="S89" s="37" t="n">
        <f aca="false">AVERAGE(G89:J89)</f>
        <v>4.65</v>
      </c>
      <c r="T89" s="37" t="n">
        <f aca="false">AVERAGE(K89:M89)</f>
        <v>4.53333333333333</v>
      </c>
      <c r="U89" s="37" t="n">
        <f aca="false">AVERAGE(N89:O89)</f>
        <v>5.35</v>
      </c>
      <c r="V89" s="23" t="str">
        <f aca="false">IF(S89&gt;='판정 기준'!$B$3,"H","L")&amp;IF(T89&gt;='판정 기준'!$B$3,"H","L")&amp;IF(U89&gt;='판정 기준'!$B$3,"H","L")</f>
        <v>HHH</v>
      </c>
      <c r="W89" s="36" t="str">
        <f aca="false">INDEX('포지션 정의'!$A$2:$A$9,MATCH(V89,'포지션 정의'!$D$2:$D$9,0))</f>
        <v>H</v>
      </c>
      <c r="X89" s="36" t="str">
        <f aca="false">INDEX('포지션 정의'!$B$2:$B$9,MATCH(V89,'포지션 정의'!$D$2:$D$9,0))</f>
        <v>올라운드 밸런스형</v>
      </c>
      <c r="Y89" s="43" t="str">
        <f aca="false">IF(AJ89="","가장 높은 지표: "&amp;AP89,LEFT(AJ89,LEN(AJ89)-2))</f>
        <v>실수 후 회복력</v>
      </c>
      <c r="Z89" s="43" t="str">
        <f aca="false">IF(MAX(AK89:AO89)=0,"심화: "&amp;IF(N89=MIN(G89,Q89,K89,N89,P89),"실수 후 회복력",IF(K89=MIN(G89,Q89,K89,N89,P89),"경기 준비 능력",IF(G89=MIN(G89,Q89,K89,N89,P89),"경기긴장도",IF(P89=MIN(G89,Q89,K89,N89,P89),"자기 통제력","사회적 도움 활용")))),IF(MAX(AK89:AO89)&gt;='판정 기준'!$B$8-'판정 기준'!$B$4,IF(AN89=MAX(AK89:AO89),"실수 후 회복력",IF(AM89=MAX(AK89:AO89),"경기 준비 능력",IF(AK89=MAX(AK89:AO89),"경기긴장도",IF(AO89=MAX(AK89:AO89),"자기 통제력","사회적 도움 활용")))),IF(AN89&gt;0,"실수 후 회복력",IF(AM89&gt;0,"경기 준비 능력",IF(AK89&gt;0,"경기긴장도",IF(AO89&gt;0,"자기 통제력","사회적 도움 활용"))))))</f>
        <v>경기 준비 능력</v>
      </c>
      <c r="AA89" s="43" t="str">
        <f aca="false">INDEX('포지션 정의'!$L$2:$L$9,MATCH(V89,'포지션 정의'!$D$2:$D$9,0))</f>
        <v>크리스티아누 호날두 · 루카 모드리치 · 버질 반 다이크</v>
      </c>
      <c r="AB89" s="24" t="n">
        <f aca="false">ROUND(100*(1-SQRT(((S89-'포지션 정의'!$N$2)^2+(T89-'포지션 정의'!$O$2)^2+(U89-'포지션 정의'!$P$2)^2)/3)/'판정 기준'!$B$7),0)</f>
        <v>78</v>
      </c>
      <c r="AC89" s="24" t="n">
        <f aca="false">ROUND(100*(1-SQRT(((S89-'포지션 정의'!$N$3)^2+(T89-'포지션 정의'!$O$3)^2+(U89-'포지션 정의'!$P$3)^2)/3)/'판정 기준'!$B$7),0)</f>
        <v>80</v>
      </c>
      <c r="AD89" s="24" t="n">
        <f aca="false">ROUND(100*(1-SQRT(((S89-'포지션 정의'!$N$4)^2+(T89-'포지션 정의'!$O$4)^2+(U89-'포지션 정의'!$P$4)^2)/3)/'판정 기준'!$B$7),0)</f>
        <v>79</v>
      </c>
      <c r="AE89" s="24" t="n">
        <f aca="false">ROUND(100*(1-SQRT(((S89-'포지션 정의'!$N$5)^2+(T89-'포지션 정의'!$O$5)^2+(U89-'포지션 정의'!$P$5)^2)/3)/'판정 기준'!$B$7),0)</f>
        <v>89</v>
      </c>
      <c r="AF89" s="24" t="n">
        <f aca="false">ROUND(100*(1-SQRT(((S89-'포지션 정의'!$N$6)^2+(T89-'포지션 정의'!$O$6)^2+(U89-'포지션 정의'!$P$6)^2)/3)/'판정 기준'!$B$7),0)</f>
        <v>87</v>
      </c>
      <c r="AG89" s="24" t="n">
        <f aca="false">ROUND(100*(1-SQRT(((S89-'포지션 정의'!$N$7)^2+(T89-'포지션 정의'!$O$7)^2+(U89-'포지션 정의'!$P$7)^2)/3)/'판정 기준'!$B$7),0)</f>
        <v>87</v>
      </c>
      <c r="AH89" s="24" t="n">
        <f aca="false">ROUND(100*(1-SQRT(((S89-'포지션 정의'!$N$8)^2+(T89-'포지션 정의'!$O$8)^2+(U89-'포지션 정의'!$P$8)^2)/3)/'판정 기준'!$B$7),0)</f>
        <v>78</v>
      </c>
      <c r="AI89" s="24" t="n">
        <f aca="false">ROUND(100*(1-SQRT(((S89-'포지션 정의'!$N$9)^2+(T89-'포지션 정의'!$O$9)^2+(U89-'포지션 정의'!$P$9)^2)/3)/'판정 기준'!$B$7),0)</f>
        <v>90</v>
      </c>
      <c r="AJ89" s="23" t="str">
        <f aca="false">IF(G89&gt;='판정 기준'!$B$8,"경기긴장도, ","")&amp;IF(Q89&gt;='판정 기준'!$B$8,"사회적 도움 활용, ","")&amp;IF(K89&gt;='판정 기준'!$B$8,"경기 준비 능력, ","")&amp;IF(N89&gt;='판정 기준'!$B$8,"실수 후 회복력, ","")&amp;IF(P89&gt;='판정 기준'!$B$8,"자기 통제력, ","")</f>
        <v>실수 후 회복력, </v>
      </c>
      <c r="AK89" s="23" t="n">
        <f aca="false">IF(AND(G89&lt;'판정 기준'!$B$8,OR(AJ89&lt;&gt;"",AP89&lt;&gt;"경기긴장도")),G89,0)</f>
        <v>4.4</v>
      </c>
      <c r="AL89" s="23" t="n">
        <f aca="false">IF(AND(Q89&lt;'판정 기준'!$B$8,OR(AJ89&lt;&gt;"",AP89&lt;&gt;"사회적 도움 활용")),Q89,0)</f>
        <v>4</v>
      </c>
      <c r="AM89" s="23" t="n">
        <f aca="false">IF(AND(K89&lt;'판정 기준'!$B$8,OR(AJ89&lt;&gt;"",AP89&lt;&gt;"경기 준비 능력")),K89,0)</f>
        <v>4.5</v>
      </c>
      <c r="AN89" s="23" t="n">
        <f aca="false">IF(AND(N89&lt;'판정 기준'!$B$8,OR(AJ89&lt;&gt;"",AP89&lt;&gt;"실수 후 회복력")),N89,0)</f>
        <v>0</v>
      </c>
      <c r="AO89" s="23" t="n">
        <f aca="false">IF(AND(P89&lt;'판정 기준'!$B$8,OR(AJ89&lt;&gt;"",AP89&lt;&gt;"자기 통제력")),P89,0)</f>
        <v>4.3</v>
      </c>
      <c r="AP89" s="23" t="str">
        <f aca="false">IF(Q89=MAX(G89,Q89,K89,N89,P89),"사회적 도움 활용",IF(P89=MAX(G89,Q89,K89,N89,P89),"자기 통제력",IF(G89=MAX(G89,Q89,K89,N89,P89),"경기긴장도",IF(K89=MAX(G89,Q89,K89,N89,P89),"경기 준비 능력","실수 후 회복력"))))</f>
        <v>실수 후 회복력</v>
      </c>
    </row>
    <row r="90" customFormat="false" ht="17.15" hidden="false" customHeight="false" outlineLevel="0" collapsed="false">
      <c r="A90" s="13" t="s">
        <v>302</v>
      </c>
      <c r="B90" s="13" t="s">
        <v>187</v>
      </c>
      <c r="C90" s="13" t="s">
        <v>292</v>
      </c>
      <c r="D90" s="14" t="n">
        <v>46169</v>
      </c>
      <c r="E90" s="41" t="s">
        <v>198</v>
      </c>
      <c r="F90" s="42" t="n">
        <v>5.4</v>
      </c>
      <c r="G90" s="42" t="n">
        <v>5.4</v>
      </c>
      <c r="H90" s="42" t="n">
        <v>5.2</v>
      </c>
      <c r="I90" s="42" t="n">
        <v>5.8</v>
      </c>
      <c r="J90" s="42" t="n">
        <v>5.2</v>
      </c>
      <c r="K90" s="42" t="n">
        <v>5</v>
      </c>
      <c r="L90" s="42" t="n">
        <v>5.2</v>
      </c>
      <c r="M90" s="42" t="n">
        <v>4.9</v>
      </c>
      <c r="N90" s="42" t="n">
        <v>5.7</v>
      </c>
      <c r="O90" s="42" t="n">
        <v>5.3</v>
      </c>
      <c r="P90" s="42" t="n">
        <v>5.5</v>
      </c>
      <c r="Q90" s="42" t="n">
        <v>5.8</v>
      </c>
      <c r="R90" s="42" t="n">
        <v>5.7</v>
      </c>
      <c r="S90" s="37" t="n">
        <f aca="false">AVERAGE(G90:J90)</f>
        <v>5.4</v>
      </c>
      <c r="T90" s="37" t="n">
        <f aca="false">AVERAGE(K90:M90)</f>
        <v>5.03333333333333</v>
      </c>
      <c r="U90" s="37" t="n">
        <f aca="false">AVERAGE(N90:O90)</f>
        <v>5.5</v>
      </c>
      <c r="V90" s="23" t="str">
        <f aca="false">IF(S90&gt;='판정 기준'!$B$3,"H","L")&amp;IF(T90&gt;='판정 기준'!$B$3,"H","L")&amp;IF(U90&gt;='판정 기준'!$B$3,"H","L")</f>
        <v>HHH</v>
      </c>
      <c r="W90" s="36" t="str">
        <f aca="false">INDEX('포지션 정의'!$A$2:$A$9,MATCH(V90,'포지션 정의'!$D$2:$D$9,0))</f>
        <v>H</v>
      </c>
      <c r="X90" s="36" t="str">
        <f aca="false">INDEX('포지션 정의'!$B$2:$B$9,MATCH(V90,'포지션 정의'!$D$2:$D$9,0))</f>
        <v>올라운드 밸런스형</v>
      </c>
      <c r="Y90" s="43" t="str">
        <f aca="false">IF(AJ90="","가장 높은 지표: "&amp;AP90,LEFT(AJ90,LEN(AJ90)-2))</f>
        <v>경기긴장도, 사회적 도움 활용, 경기 준비 능력, 실수 후 회복력, 자기 통제력</v>
      </c>
      <c r="Z90" s="43" t="str">
        <f aca="false">IF(MAX(AK90:AO90)=0,"심화: "&amp;IF(N90=MIN(G90,Q90,K90,N90,P90),"실수 후 회복력",IF(K90=MIN(G90,Q90,K90,N90,P90),"경기 준비 능력",IF(G90=MIN(G90,Q90,K90,N90,P90),"경기긴장도",IF(P90=MIN(G90,Q90,K90,N90,P90),"자기 통제력","사회적 도움 활용")))),IF(MAX(AK90:AO90)&gt;='판정 기준'!$B$8-'판정 기준'!$B$4,IF(AN90=MAX(AK90:AO90),"실수 후 회복력",IF(AM90=MAX(AK90:AO90),"경기 준비 능력",IF(AK90=MAX(AK90:AO90),"경기긴장도",IF(AO90=MAX(AK90:AO90),"자기 통제력","사회적 도움 활용")))),IF(AN90&gt;0,"실수 후 회복력",IF(AM90&gt;0,"경기 준비 능력",IF(AK90&gt;0,"경기긴장도",IF(AO90&gt;0,"자기 통제력","사회적 도움 활용"))))))</f>
        <v>심화: 경기 준비 능력</v>
      </c>
      <c r="AA90" s="43" t="str">
        <f aca="false">INDEX('포지션 정의'!$L$2:$L$9,MATCH(V90,'포지션 정의'!$D$2:$D$9,0))</f>
        <v>크리스티아누 호날두 · 루카 모드리치 · 버질 반 다이크</v>
      </c>
      <c r="AB90" s="24" t="n">
        <f aca="false">ROUND(100*(1-SQRT(((S90-'포지션 정의'!$N$2)^2+(T90-'포지션 정의'!$O$2)^2+(U90-'포지션 정의'!$P$2)^2)/3)/'판정 기준'!$B$7),0)</f>
        <v>73</v>
      </c>
      <c r="AC90" s="24" t="n">
        <f aca="false">ROUND(100*(1-SQRT(((S90-'포지션 정의'!$N$3)^2+(T90-'포지션 정의'!$O$3)^2+(U90-'포지션 정의'!$P$3)^2)/3)/'판정 기준'!$B$7),0)</f>
        <v>80</v>
      </c>
      <c r="AD90" s="24" t="n">
        <f aca="false">ROUND(100*(1-SQRT(((S90-'포지션 정의'!$N$4)^2+(T90-'포지션 정의'!$O$4)^2+(U90-'포지션 정의'!$P$4)^2)/3)/'판정 기준'!$B$7),0)</f>
        <v>76</v>
      </c>
      <c r="AE90" s="24" t="n">
        <f aca="false">ROUND(100*(1-SQRT(((S90-'포지션 정의'!$N$5)^2+(T90-'포지션 정의'!$O$5)^2+(U90-'포지션 정의'!$P$5)^2)/3)/'판정 기준'!$B$7),0)</f>
        <v>85</v>
      </c>
      <c r="AF90" s="24" t="n">
        <f aca="false">ROUND(100*(1-SQRT(((S90-'포지션 정의'!$N$6)^2+(T90-'포지션 정의'!$O$6)^2+(U90-'포지션 정의'!$P$6)^2)/3)/'판정 기준'!$B$7),0)</f>
        <v>76</v>
      </c>
      <c r="AG90" s="24" t="n">
        <f aca="false">ROUND(100*(1-SQRT(((S90-'포지션 정의'!$N$7)^2+(T90-'포지션 정의'!$O$7)^2+(U90-'포지션 정의'!$P$7)^2)/3)/'판정 기준'!$B$7),0)</f>
        <v>81</v>
      </c>
      <c r="AH90" s="24" t="n">
        <f aca="false">ROUND(100*(1-SQRT(((S90-'포지션 정의'!$N$8)^2+(T90-'포지션 정의'!$O$8)^2+(U90-'포지션 정의'!$P$8)^2)/3)/'판정 기준'!$B$7),0)</f>
        <v>70</v>
      </c>
      <c r="AI90" s="24" t="n">
        <f aca="false">ROUND(100*(1-SQRT(((S90-'포지션 정의'!$N$9)^2+(T90-'포지션 정의'!$O$9)^2+(U90-'포지션 정의'!$P$9)^2)/3)/'판정 기준'!$B$7),0)</f>
        <v>95</v>
      </c>
      <c r="AJ90" s="23" t="str">
        <f aca="false">IF(G90&gt;='판정 기준'!$B$8,"경기긴장도, ","")&amp;IF(Q90&gt;='판정 기준'!$B$8,"사회적 도움 활용, ","")&amp;IF(K90&gt;='판정 기준'!$B$8,"경기 준비 능력, ","")&amp;IF(N90&gt;='판정 기준'!$B$8,"실수 후 회복력, ","")&amp;IF(P90&gt;='판정 기준'!$B$8,"자기 통제력, ","")</f>
        <v>경기긴장도, 사회적 도움 활용, 경기 준비 능력, 실수 후 회복력, 자기 통제력, </v>
      </c>
      <c r="AK90" s="23" t="n">
        <f aca="false">IF(AND(G90&lt;'판정 기준'!$B$8,OR(AJ90&lt;&gt;"",AP90&lt;&gt;"경기긴장도")),G90,0)</f>
        <v>0</v>
      </c>
      <c r="AL90" s="23" t="n">
        <f aca="false">IF(AND(Q90&lt;'판정 기준'!$B$8,OR(AJ90&lt;&gt;"",AP90&lt;&gt;"사회적 도움 활용")),Q90,0)</f>
        <v>0</v>
      </c>
      <c r="AM90" s="23" t="n">
        <f aca="false">IF(AND(K90&lt;'판정 기준'!$B$8,OR(AJ90&lt;&gt;"",AP90&lt;&gt;"경기 준비 능력")),K90,0)</f>
        <v>0</v>
      </c>
      <c r="AN90" s="23" t="n">
        <f aca="false">IF(AND(N90&lt;'판정 기준'!$B$8,OR(AJ90&lt;&gt;"",AP90&lt;&gt;"실수 후 회복력")),N90,0)</f>
        <v>0</v>
      </c>
      <c r="AO90" s="23" t="n">
        <f aca="false">IF(AND(P90&lt;'판정 기준'!$B$8,OR(AJ90&lt;&gt;"",AP90&lt;&gt;"자기 통제력")),P90,0)</f>
        <v>0</v>
      </c>
      <c r="AP90" s="23" t="str">
        <f aca="false">IF(Q90=MAX(G90,Q90,K90,N90,P90),"사회적 도움 활용",IF(P90=MAX(G90,Q90,K90,N90,P90),"자기 통제력",IF(G90=MAX(G90,Q90,K90,N90,P90),"경기긴장도",IF(K90=MAX(G90,Q90,K90,N90,P90),"경기 준비 능력","실수 후 회복력"))))</f>
        <v>사회적 도움 활용</v>
      </c>
    </row>
    <row r="91" customFormat="false" ht="17.15" hidden="false" customHeight="false" outlineLevel="0" collapsed="false">
      <c r="A91" s="13" t="s">
        <v>303</v>
      </c>
      <c r="B91" s="13" t="s">
        <v>187</v>
      </c>
      <c r="C91" s="13" t="s">
        <v>292</v>
      </c>
      <c r="D91" s="14" t="n">
        <v>46169</v>
      </c>
      <c r="E91" s="41" t="s">
        <v>198</v>
      </c>
      <c r="F91" s="42" t="n">
        <v>4.7</v>
      </c>
      <c r="G91" s="42" t="n">
        <v>4.6</v>
      </c>
      <c r="H91" s="42" t="n">
        <v>4.5</v>
      </c>
      <c r="I91" s="42" t="n">
        <v>4.4</v>
      </c>
      <c r="J91" s="42" t="n">
        <v>4.2</v>
      </c>
      <c r="K91" s="42" t="n">
        <v>4.4</v>
      </c>
      <c r="L91" s="42" t="n">
        <v>4</v>
      </c>
      <c r="M91" s="42" t="n">
        <v>4.7</v>
      </c>
      <c r="N91" s="42" t="n">
        <v>5.4</v>
      </c>
      <c r="O91" s="42" t="n">
        <v>5.2</v>
      </c>
      <c r="P91" s="42" t="n">
        <v>4.2</v>
      </c>
      <c r="Q91" s="42" t="n">
        <v>6</v>
      </c>
      <c r="R91" s="42" t="n">
        <v>5.7</v>
      </c>
      <c r="S91" s="37" t="n">
        <f aca="false">AVERAGE(G91:J91)</f>
        <v>4.425</v>
      </c>
      <c r="T91" s="37" t="n">
        <f aca="false">AVERAGE(K91:M91)</f>
        <v>4.36666666666667</v>
      </c>
      <c r="U91" s="37" t="n">
        <f aca="false">AVERAGE(N91:O91)</f>
        <v>5.3</v>
      </c>
      <c r="V91" s="23" t="str">
        <f aca="false">IF(S91&gt;='판정 기준'!$B$3,"H","L")&amp;IF(T91&gt;='판정 기준'!$B$3,"H","L")&amp;IF(U91&gt;='판정 기준'!$B$3,"H","L")</f>
        <v>LLH</v>
      </c>
      <c r="W91" s="36" t="str">
        <f aca="false">INDEX('포지션 정의'!$A$2:$A$9,MATCH(V91,'포지션 정의'!$D$2:$D$9,0))</f>
        <v>E</v>
      </c>
      <c r="X91" s="36" t="str">
        <f aca="false">INDEX('포지션 정의'!$B$2:$B$9,MATCH(V91,'포지션 정의'!$D$2:$D$9,0))</f>
        <v>오뚝이 회복형</v>
      </c>
      <c r="Y91" s="43" t="str">
        <f aca="false">IF(AJ91="","가장 높은 지표: "&amp;AP91,LEFT(AJ91,LEN(AJ91)-2))</f>
        <v>사회적 도움 활용, 실수 후 회복력</v>
      </c>
      <c r="Z91" s="43" t="str">
        <f aca="false">IF(MAX(AK91:AO91)=0,"심화: "&amp;IF(N91=MIN(G91,Q91,K91,N91,P91),"실수 후 회복력",IF(K91=MIN(G91,Q91,K91,N91,P91),"경기 준비 능력",IF(G91=MIN(G91,Q91,K91,N91,P91),"경기긴장도",IF(P91=MIN(G91,Q91,K91,N91,P91),"자기 통제력","사회적 도움 활용")))),IF(MAX(AK91:AO91)&gt;='판정 기준'!$B$8-'판정 기준'!$B$4,IF(AN91=MAX(AK91:AO91),"실수 후 회복력",IF(AM91=MAX(AK91:AO91),"경기 준비 능력",IF(AK91=MAX(AK91:AO91),"경기긴장도",IF(AO91=MAX(AK91:AO91),"자기 통제력","사회적 도움 활용")))),IF(AN91&gt;0,"실수 후 회복력",IF(AM91&gt;0,"경기 준비 능력",IF(AK91&gt;0,"경기긴장도",IF(AO91&gt;0,"자기 통제력","사회적 도움 활용"))))))</f>
        <v>경기긴장도</v>
      </c>
      <c r="AA91" s="43" t="str">
        <f aca="false">INDEX('포지션 정의'!$L$2:$L$9,MATCH(V91,'포지션 정의'!$D$2:$D$9,0))</f>
        <v>올리비에 지루 · 디에고 포를란 · 라다멜 팔카오</v>
      </c>
      <c r="AB91" s="24" t="n">
        <f aca="false">ROUND(100*(1-SQRT(((S91-'포지션 정의'!$N$2)^2+(T91-'포지션 정의'!$O$2)^2+(U91-'포지션 정의'!$P$2)^2)/3)/'판정 기준'!$B$7),0)</f>
        <v>79</v>
      </c>
      <c r="AC91" s="24" t="n">
        <f aca="false">ROUND(100*(1-SQRT(((S91-'포지션 정의'!$N$3)^2+(T91-'포지션 정의'!$O$3)^2+(U91-'포지션 정의'!$P$3)^2)/3)/'판정 기준'!$B$7),0)</f>
        <v>78</v>
      </c>
      <c r="AD91" s="24" t="n">
        <f aca="false">ROUND(100*(1-SQRT(((S91-'포지션 정의'!$N$4)^2+(T91-'포지션 정의'!$O$4)^2+(U91-'포지션 정의'!$P$4)^2)/3)/'판정 기준'!$B$7),0)</f>
        <v>79</v>
      </c>
      <c r="AE91" s="24" t="n">
        <f aca="false">ROUND(100*(1-SQRT(((S91-'포지션 정의'!$N$5)^2+(T91-'포지션 정의'!$O$5)^2+(U91-'포지션 정의'!$P$5)^2)/3)/'판정 기준'!$B$7),0)</f>
        <v>89</v>
      </c>
      <c r="AF91" s="24" t="n">
        <f aca="false">ROUND(100*(1-SQRT(((S91-'포지션 정의'!$N$6)^2+(T91-'포지션 정의'!$O$6)^2+(U91-'포지션 정의'!$P$6)^2)/3)/'판정 기준'!$B$7),0)</f>
        <v>90</v>
      </c>
      <c r="AG91" s="24" t="n">
        <f aca="false">ROUND(100*(1-SQRT(((S91-'포지션 정의'!$N$7)^2+(T91-'포지션 정의'!$O$7)^2+(U91-'포지션 정의'!$P$7)^2)/3)/'판정 기준'!$B$7),0)</f>
        <v>88</v>
      </c>
      <c r="AH91" s="24" t="n">
        <f aca="false">ROUND(100*(1-SQRT(((S91-'포지션 정의'!$N$8)^2+(T91-'포지션 정의'!$O$8)^2+(U91-'포지션 정의'!$P$8)^2)/3)/'판정 기준'!$B$7),0)</f>
        <v>80</v>
      </c>
      <c r="AI91" s="24" t="n">
        <f aca="false">ROUND(100*(1-SQRT(((S91-'포지션 정의'!$N$9)^2+(T91-'포지션 정의'!$O$9)^2+(U91-'포지션 정의'!$P$9)^2)/3)/'판정 기준'!$B$7),0)</f>
        <v>87</v>
      </c>
      <c r="AJ91" s="23" t="str">
        <f aca="false">IF(G91&gt;='판정 기준'!$B$8,"경기긴장도, ","")&amp;IF(Q91&gt;='판정 기준'!$B$8,"사회적 도움 활용, ","")&amp;IF(K91&gt;='판정 기준'!$B$8,"경기 준비 능력, ","")&amp;IF(N91&gt;='판정 기준'!$B$8,"실수 후 회복력, ","")&amp;IF(P91&gt;='판정 기준'!$B$8,"자기 통제력, ","")</f>
        <v>사회적 도움 활용, 실수 후 회복력, </v>
      </c>
      <c r="AK91" s="23" t="n">
        <f aca="false">IF(AND(G91&lt;'판정 기준'!$B$8,OR(AJ91&lt;&gt;"",AP91&lt;&gt;"경기긴장도")),G91,0)</f>
        <v>4.6</v>
      </c>
      <c r="AL91" s="23" t="n">
        <f aca="false">IF(AND(Q91&lt;'판정 기준'!$B$8,OR(AJ91&lt;&gt;"",AP91&lt;&gt;"사회적 도움 활용")),Q91,0)</f>
        <v>0</v>
      </c>
      <c r="AM91" s="23" t="n">
        <f aca="false">IF(AND(K91&lt;'판정 기준'!$B$8,OR(AJ91&lt;&gt;"",AP91&lt;&gt;"경기 준비 능력")),K91,0)</f>
        <v>4.4</v>
      </c>
      <c r="AN91" s="23" t="n">
        <f aca="false">IF(AND(N91&lt;'판정 기준'!$B$8,OR(AJ91&lt;&gt;"",AP91&lt;&gt;"실수 후 회복력")),N91,0)</f>
        <v>0</v>
      </c>
      <c r="AO91" s="23" t="n">
        <f aca="false">IF(AND(P91&lt;'판정 기준'!$B$8,OR(AJ91&lt;&gt;"",AP91&lt;&gt;"자기 통제력")),P91,0)</f>
        <v>4.2</v>
      </c>
      <c r="AP91" s="23" t="str">
        <f aca="false">IF(Q91=MAX(G91,Q91,K91,N91,P91),"사회적 도움 활용",IF(P91=MAX(G91,Q91,K91,N91,P91),"자기 통제력",IF(G91=MAX(G91,Q91,K91,N91,P91),"경기긴장도",IF(K91=MAX(G91,Q91,K91,N91,P91),"경기 준비 능력","실수 후 회복력"))))</f>
        <v>사회적 도움 활용</v>
      </c>
    </row>
    <row r="92" customFormat="false" ht="17.15" hidden="false" customHeight="false" outlineLevel="0" collapsed="false">
      <c r="A92" s="13" t="s">
        <v>304</v>
      </c>
      <c r="B92" s="13" t="s">
        <v>187</v>
      </c>
      <c r="C92" s="13" t="s">
        <v>292</v>
      </c>
      <c r="D92" s="14" t="n">
        <v>46169</v>
      </c>
      <c r="E92" s="41" t="s">
        <v>195</v>
      </c>
      <c r="F92" s="42" t="n">
        <v>5.3</v>
      </c>
      <c r="G92" s="42" t="n">
        <v>5.3</v>
      </c>
      <c r="H92" s="42" t="n">
        <v>5.2</v>
      </c>
      <c r="I92" s="42" t="n">
        <v>5.8</v>
      </c>
      <c r="J92" s="42" t="n">
        <v>5</v>
      </c>
      <c r="K92" s="42" t="n">
        <v>5.4</v>
      </c>
      <c r="L92" s="42" t="n">
        <v>5.2</v>
      </c>
      <c r="M92" s="42" t="n">
        <v>5.6</v>
      </c>
      <c r="N92" s="42" t="n">
        <v>5.3</v>
      </c>
      <c r="O92" s="42" t="n">
        <v>5.7</v>
      </c>
      <c r="P92" s="42" t="n">
        <v>5.3</v>
      </c>
      <c r="Q92" s="42" t="n">
        <v>6</v>
      </c>
      <c r="R92" s="42" t="n">
        <v>6</v>
      </c>
      <c r="S92" s="37" t="n">
        <f aca="false">AVERAGE(G92:J92)</f>
        <v>5.325</v>
      </c>
      <c r="T92" s="37" t="n">
        <f aca="false">AVERAGE(K92:M92)</f>
        <v>5.4</v>
      </c>
      <c r="U92" s="37" t="n">
        <f aca="false">AVERAGE(N92:O92)</f>
        <v>5.5</v>
      </c>
      <c r="V92" s="23" t="str">
        <f aca="false">IF(S92&gt;='판정 기준'!$B$3,"H","L")&amp;IF(T92&gt;='판정 기준'!$B$3,"H","L")&amp;IF(U92&gt;='판정 기준'!$B$3,"H","L")</f>
        <v>HHH</v>
      </c>
      <c r="W92" s="36" t="str">
        <f aca="false">INDEX('포지션 정의'!$A$2:$A$9,MATCH(V92,'포지션 정의'!$D$2:$D$9,0))</f>
        <v>H</v>
      </c>
      <c r="X92" s="36" t="str">
        <f aca="false">INDEX('포지션 정의'!$B$2:$B$9,MATCH(V92,'포지션 정의'!$D$2:$D$9,0))</f>
        <v>올라운드 밸런스형</v>
      </c>
      <c r="Y92" s="43" t="str">
        <f aca="false">IF(AJ92="","가장 높은 지표: "&amp;AP92,LEFT(AJ92,LEN(AJ92)-2))</f>
        <v>경기긴장도, 사회적 도움 활용, 경기 준비 능력, 실수 후 회복력, 자기 통제력</v>
      </c>
      <c r="Z92" s="43" t="str">
        <f aca="false">IF(MAX(AK92:AO92)=0,"심화: "&amp;IF(N92=MIN(G92,Q92,K92,N92,P92),"실수 후 회복력",IF(K92=MIN(G92,Q92,K92,N92,P92),"경기 준비 능력",IF(G92=MIN(G92,Q92,K92,N92,P92),"경기긴장도",IF(P92=MIN(G92,Q92,K92,N92,P92),"자기 통제력","사회적 도움 활용")))),IF(MAX(AK92:AO92)&gt;='판정 기준'!$B$8-'판정 기준'!$B$4,IF(AN92=MAX(AK92:AO92),"실수 후 회복력",IF(AM92=MAX(AK92:AO92),"경기 준비 능력",IF(AK92=MAX(AK92:AO92),"경기긴장도",IF(AO92=MAX(AK92:AO92),"자기 통제력","사회적 도움 활용")))),IF(AN92&gt;0,"실수 후 회복력",IF(AM92&gt;0,"경기 준비 능력",IF(AK92&gt;0,"경기긴장도",IF(AO92&gt;0,"자기 통제력","사회적 도움 활용"))))))</f>
        <v>심화: 실수 후 회복력</v>
      </c>
      <c r="AA92" s="43" t="str">
        <f aca="false">INDEX('포지션 정의'!$L$2:$L$9,MATCH(V92,'포지션 정의'!$D$2:$D$9,0))</f>
        <v>크리스티아누 호날두 · 루카 모드리치 · 버질 반 다이크</v>
      </c>
      <c r="AB92" s="24" t="n">
        <f aca="false">ROUND(100*(1-SQRT(((S92-'포지션 정의'!$N$2)^2+(T92-'포지션 정의'!$O$2)^2+(U92-'포지션 정의'!$P$2)^2)/3)/'판정 기준'!$B$7),0)</f>
        <v>74</v>
      </c>
      <c r="AC92" s="24" t="n">
        <f aca="false">ROUND(100*(1-SQRT(((S92-'포지션 정의'!$N$3)^2+(T92-'포지션 정의'!$O$3)^2+(U92-'포지션 정의'!$P$3)^2)/3)/'판정 기준'!$B$7),0)</f>
        <v>80</v>
      </c>
      <c r="AD92" s="24" t="n">
        <f aca="false">ROUND(100*(1-SQRT(((S92-'포지션 정의'!$N$4)^2+(T92-'포지션 정의'!$O$4)^2+(U92-'포지션 정의'!$P$4)^2)/3)/'판정 기준'!$B$7),0)</f>
        <v>73</v>
      </c>
      <c r="AE92" s="24" t="n">
        <f aca="false">ROUND(100*(1-SQRT(((S92-'포지션 정의'!$N$5)^2+(T92-'포지션 정의'!$O$5)^2+(U92-'포지션 정의'!$P$5)^2)/3)/'판정 기준'!$B$7),0)</f>
        <v>81</v>
      </c>
      <c r="AF92" s="24" t="n">
        <f aca="false">ROUND(100*(1-SQRT(((S92-'포지션 정의'!$N$6)^2+(T92-'포지션 정의'!$O$6)^2+(U92-'포지션 정의'!$P$6)^2)/3)/'판정 기준'!$B$7),0)</f>
        <v>74</v>
      </c>
      <c r="AG92" s="24" t="n">
        <f aca="false">ROUND(100*(1-SQRT(((S92-'포지션 정의'!$N$7)^2+(T92-'포지션 정의'!$O$7)^2+(U92-'포지션 정의'!$P$7)^2)/3)/'판정 기준'!$B$7),0)</f>
        <v>82</v>
      </c>
      <c r="AH92" s="24" t="n">
        <f aca="false">ROUND(100*(1-SQRT(((S92-'포지션 정의'!$N$8)^2+(T92-'포지션 정의'!$O$8)^2+(U92-'포지션 정의'!$P$8)^2)/3)/'판정 기준'!$B$7),0)</f>
        <v>68</v>
      </c>
      <c r="AI92" s="24" t="n">
        <f aca="false">ROUND(100*(1-SQRT(((S92-'포지션 정의'!$N$9)^2+(T92-'포지션 정의'!$O$9)^2+(U92-'포지션 정의'!$P$9)^2)/3)/'판정 기준'!$B$7),0)</f>
        <v>96</v>
      </c>
      <c r="AJ92" s="23" t="str">
        <f aca="false">IF(G92&gt;='판정 기준'!$B$8,"경기긴장도, ","")&amp;IF(Q92&gt;='판정 기준'!$B$8,"사회적 도움 활용, ","")&amp;IF(K92&gt;='판정 기준'!$B$8,"경기 준비 능력, ","")&amp;IF(N92&gt;='판정 기준'!$B$8,"실수 후 회복력, ","")&amp;IF(P92&gt;='판정 기준'!$B$8,"자기 통제력, ","")</f>
        <v>경기긴장도, 사회적 도움 활용, 경기 준비 능력, 실수 후 회복력, 자기 통제력, </v>
      </c>
      <c r="AK92" s="23" t="n">
        <f aca="false">IF(AND(G92&lt;'판정 기준'!$B$8,OR(AJ92&lt;&gt;"",AP92&lt;&gt;"경기긴장도")),G92,0)</f>
        <v>0</v>
      </c>
      <c r="AL92" s="23" t="n">
        <f aca="false">IF(AND(Q92&lt;'판정 기준'!$B$8,OR(AJ92&lt;&gt;"",AP92&lt;&gt;"사회적 도움 활용")),Q92,0)</f>
        <v>0</v>
      </c>
      <c r="AM92" s="23" t="n">
        <f aca="false">IF(AND(K92&lt;'판정 기준'!$B$8,OR(AJ92&lt;&gt;"",AP92&lt;&gt;"경기 준비 능력")),K92,0)</f>
        <v>0</v>
      </c>
      <c r="AN92" s="23" t="n">
        <f aca="false">IF(AND(N92&lt;'판정 기준'!$B$8,OR(AJ92&lt;&gt;"",AP92&lt;&gt;"실수 후 회복력")),N92,0)</f>
        <v>0</v>
      </c>
      <c r="AO92" s="23" t="n">
        <f aca="false">IF(AND(P92&lt;'판정 기준'!$B$8,OR(AJ92&lt;&gt;"",AP92&lt;&gt;"자기 통제력")),P92,0)</f>
        <v>0</v>
      </c>
      <c r="AP92" s="23" t="str">
        <f aca="false">IF(Q92=MAX(G92,Q92,K92,N92,P92),"사회적 도움 활용",IF(P92=MAX(G92,Q92,K92,N92,P92),"자기 통제력",IF(G92=MAX(G92,Q92,K92,N92,P92),"경기긴장도",IF(K92=MAX(G92,Q92,K92,N92,P92),"경기 준비 능력","실수 후 회복력"))))</f>
        <v>사회적 도움 활용</v>
      </c>
    </row>
    <row r="93" customFormat="false" ht="17.15" hidden="false" customHeight="false" outlineLevel="0" collapsed="false">
      <c r="A93" s="13" t="s">
        <v>305</v>
      </c>
      <c r="B93" s="13" t="s">
        <v>187</v>
      </c>
      <c r="C93" s="13" t="s">
        <v>292</v>
      </c>
      <c r="D93" s="14" t="n">
        <v>46169</v>
      </c>
      <c r="E93" s="41" t="s">
        <v>195</v>
      </c>
      <c r="F93" s="42" t="n">
        <v>5.2</v>
      </c>
      <c r="G93" s="42" t="n">
        <v>4.1</v>
      </c>
      <c r="H93" s="42" t="n">
        <v>4</v>
      </c>
      <c r="I93" s="42" t="n">
        <v>4</v>
      </c>
      <c r="J93" s="42" t="n">
        <v>4.5</v>
      </c>
      <c r="K93" s="42" t="n">
        <v>5.6</v>
      </c>
      <c r="L93" s="42" t="n">
        <v>5.5</v>
      </c>
      <c r="M93" s="42" t="n">
        <v>5.7</v>
      </c>
      <c r="N93" s="42" t="n">
        <v>5.4</v>
      </c>
      <c r="O93" s="42" t="n">
        <v>5.3</v>
      </c>
      <c r="P93" s="42" t="n">
        <v>6</v>
      </c>
      <c r="Q93" s="42" t="n">
        <v>5.4</v>
      </c>
      <c r="R93" s="42" t="n">
        <v>6</v>
      </c>
      <c r="S93" s="37" t="n">
        <f aca="false">AVERAGE(G93:J93)</f>
        <v>4.15</v>
      </c>
      <c r="T93" s="37" t="n">
        <f aca="false">AVERAGE(K93:M93)</f>
        <v>5.6</v>
      </c>
      <c r="U93" s="37" t="n">
        <f aca="false">AVERAGE(N93:O93)</f>
        <v>5.35</v>
      </c>
      <c r="V93" s="23" t="str">
        <f aca="false">IF(S93&gt;='판정 기준'!$B$3,"H","L")&amp;IF(T93&gt;='판정 기준'!$B$3,"H","L")&amp;IF(U93&gt;='판정 기준'!$B$3,"H","L")</f>
        <v>LHH</v>
      </c>
      <c r="W93" s="36" t="str">
        <f aca="false">INDEX('포지션 정의'!$A$2:$A$9,MATCH(V93,'포지션 정의'!$D$2:$D$9,0))</f>
        <v>F</v>
      </c>
      <c r="X93" s="36" t="str">
        <f aca="false">INDEX('포지션 정의'!$B$2:$B$9,MATCH(V93,'포지션 정의'!$D$2:$D$9,0))</f>
        <v>성실한 도전자형</v>
      </c>
      <c r="Y93" s="43" t="str">
        <f aca="false">IF(AJ93="","가장 높은 지표: "&amp;AP93,LEFT(AJ93,LEN(AJ93)-2))</f>
        <v>사회적 도움 활용, 경기 준비 능력, 실수 후 회복력, 자기 통제력</v>
      </c>
      <c r="Z93" s="43" t="str">
        <f aca="false">IF(MAX(AK93:AO93)=0,"심화: "&amp;IF(N93=MIN(G93,Q93,K93,N93,P93),"실수 후 회복력",IF(K93=MIN(G93,Q93,K93,N93,P93),"경기 준비 능력",IF(G93=MIN(G93,Q93,K93,N93,P93),"경기긴장도",IF(P93=MIN(G93,Q93,K93,N93,P93),"자기 통제력","사회적 도움 활용")))),IF(MAX(AK93:AO93)&gt;='판정 기준'!$B$8-'판정 기준'!$B$4,IF(AN93=MAX(AK93:AO93),"실수 후 회복력",IF(AM93=MAX(AK93:AO93),"경기 준비 능력",IF(AK93=MAX(AK93:AO93),"경기긴장도",IF(AO93=MAX(AK93:AO93),"자기 통제력","사회적 도움 활용")))),IF(AN93&gt;0,"실수 후 회복력",IF(AM93&gt;0,"경기 준비 능력",IF(AK93&gt;0,"경기긴장도",IF(AO93&gt;0,"자기 통제력","사회적 도움 활용"))))))</f>
        <v>경기긴장도</v>
      </c>
      <c r="AA93" s="43" t="str">
        <f aca="false">INDEX('포지션 정의'!$L$2:$L$9,MATCH(V93,'포지션 정의'!$D$2:$D$9,0))</f>
        <v>제이미 바디 · 은골로 캉테 · 박지성</v>
      </c>
      <c r="AB93" s="24" t="n">
        <f aca="false">ROUND(100*(1-SQRT(((S93-'포지션 정의'!$N$2)^2+(T93-'포지션 정의'!$O$2)^2+(U93-'포지션 정의'!$P$2)^2)/3)/'판정 기준'!$B$7),0)</f>
        <v>81</v>
      </c>
      <c r="AC93" s="24" t="n">
        <f aca="false">ROUND(100*(1-SQRT(((S93-'포지션 정의'!$N$3)^2+(T93-'포지션 정의'!$O$3)^2+(U93-'포지션 정의'!$P$3)^2)/3)/'판정 기준'!$B$7),0)</f>
        <v>78</v>
      </c>
      <c r="AD93" s="24" t="n">
        <f aca="false">ROUND(100*(1-SQRT(((S93-'포지션 정의'!$N$4)^2+(T93-'포지션 정의'!$O$4)^2+(U93-'포지션 정의'!$P$4)^2)/3)/'판정 기준'!$B$7),0)</f>
        <v>70</v>
      </c>
      <c r="AE93" s="24" t="n">
        <f aca="false">ROUND(100*(1-SQRT(((S93-'포지션 정의'!$N$5)^2+(T93-'포지션 정의'!$O$5)^2+(U93-'포지션 정의'!$P$5)^2)/3)/'판정 기준'!$B$7),0)</f>
        <v>76</v>
      </c>
      <c r="AF93" s="24" t="n">
        <f aca="false">ROUND(100*(1-SQRT(((S93-'포지션 정의'!$N$6)^2+(T93-'포지션 정의'!$O$6)^2+(U93-'포지션 정의'!$P$6)^2)/3)/'판정 기준'!$B$7),0)</f>
        <v>79</v>
      </c>
      <c r="AG93" s="24" t="n">
        <f aca="false">ROUND(100*(1-SQRT(((S93-'포지션 정의'!$N$7)^2+(T93-'포지션 정의'!$O$7)^2+(U93-'포지션 정의'!$P$7)^2)/3)/'판정 기준'!$B$7),0)</f>
        <v>94</v>
      </c>
      <c r="AH93" s="24" t="n">
        <f aca="false">ROUND(100*(1-SQRT(((S93-'포지션 정의'!$N$8)^2+(T93-'포지션 정의'!$O$8)^2+(U93-'포지션 정의'!$P$8)^2)/3)/'판정 기준'!$B$7),0)</f>
        <v>72</v>
      </c>
      <c r="AI93" s="24" t="n">
        <f aca="false">ROUND(100*(1-SQRT(((S93-'포지션 정의'!$N$9)^2+(T93-'포지션 정의'!$O$9)^2+(U93-'포지션 정의'!$P$9)^2)/3)/'판정 기준'!$B$7),0)</f>
        <v>87</v>
      </c>
      <c r="AJ93" s="23" t="str">
        <f aca="false">IF(G93&gt;='판정 기준'!$B$8,"경기긴장도, ","")&amp;IF(Q93&gt;='판정 기준'!$B$8,"사회적 도움 활용, ","")&amp;IF(K93&gt;='판정 기준'!$B$8,"경기 준비 능력, ","")&amp;IF(N93&gt;='판정 기준'!$B$8,"실수 후 회복력, ","")&amp;IF(P93&gt;='판정 기준'!$B$8,"자기 통제력, ","")</f>
        <v>사회적 도움 활용, 경기 준비 능력, 실수 후 회복력, 자기 통제력, </v>
      </c>
      <c r="AK93" s="23" t="n">
        <f aca="false">IF(AND(G93&lt;'판정 기준'!$B$8,OR(AJ93&lt;&gt;"",AP93&lt;&gt;"경기긴장도")),G93,0)</f>
        <v>4.1</v>
      </c>
      <c r="AL93" s="23" t="n">
        <f aca="false">IF(AND(Q93&lt;'판정 기준'!$B$8,OR(AJ93&lt;&gt;"",AP93&lt;&gt;"사회적 도움 활용")),Q93,0)</f>
        <v>0</v>
      </c>
      <c r="AM93" s="23" t="n">
        <f aca="false">IF(AND(K93&lt;'판정 기준'!$B$8,OR(AJ93&lt;&gt;"",AP93&lt;&gt;"경기 준비 능력")),K93,0)</f>
        <v>0</v>
      </c>
      <c r="AN93" s="23" t="n">
        <f aca="false">IF(AND(N93&lt;'판정 기준'!$B$8,OR(AJ93&lt;&gt;"",AP93&lt;&gt;"실수 후 회복력")),N93,0)</f>
        <v>0</v>
      </c>
      <c r="AO93" s="23" t="n">
        <f aca="false">IF(AND(P93&lt;'판정 기준'!$B$8,OR(AJ93&lt;&gt;"",AP93&lt;&gt;"자기 통제력")),P93,0)</f>
        <v>0</v>
      </c>
      <c r="AP93" s="23" t="str">
        <f aca="false">IF(Q93=MAX(G93,Q93,K93,N93,P93),"사회적 도움 활용",IF(P93=MAX(G93,Q93,K93,N93,P93),"자기 통제력",IF(G93=MAX(G93,Q93,K93,N93,P93),"경기긴장도",IF(K93=MAX(G93,Q93,K93,N93,P93),"경기 준비 능력","실수 후 회복력"))))</f>
        <v>자기 통제력</v>
      </c>
    </row>
    <row r="94" customFormat="false" ht="17.15" hidden="false" customHeight="false" outlineLevel="0" collapsed="false">
      <c r="A94" s="13" t="s">
        <v>306</v>
      </c>
      <c r="B94" s="13" t="s">
        <v>187</v>
      </c>
      <c r="C94" s="13" t="s">
        <v>292</v>
      </c>
      <c r="D94" s="14" t="n">
        <v>46169</v>
      </c>
      <c r="E94" s="41" t="s">
        <v>193</v>
      </c>
      <c r="F94" s="42" t="n">
        <v>4.8</v>
      </c>
      <c r="G94" s="42" t="n">
        <v>4.9</v>
      </c>
      <c r="H94" s="42" t="n">
        <v>4.7</v>
      </c>
      <c r="I94" s="42" t="n">
        <v>5.6</v>
      </c>
      <c r="J94" s="42" t="n">
        <v>4.8</v>
      </c>
      <c r="K94" s="42" t="n">
        <v>4.4</v>
      </c>
      <c r="L94" s="42" t="n">
        <v>4.8</v>
      </c>
      <c r="M94" s="42" t="n">
        <v>4</v>
      </c>
      <c r="N94" s="42" t="n">
        <v>4.9</v>
      </c>
      <c r="O94" s="42" t="n">
        <v>5</v>
      </c>
      <c r="P94" s="42" t="n">
        <v>4.8</v>
      </c>
      <c r="Q94" s="42" t="n">
        <v>5.4</v>
      </c>
      <c r="R94" s="42" t="n">
        <v>5.7</v>
      </c>
      <c r="S94" s="37" t="n">
        <f aca="false">AVERAGE(G94:J94)</f>
        <v>5</v>
      </c>
      <c r="T94" s="37" t="n">
        <f aca="false">AVERAGE(K94:M94)</f>
        <v>4.4</v>
      </c>
      <c r="U94" s="37" t="n">
        <f aca="false">AVERAGE(N94:O94)</f>
        <v>4.95</v>
      </c>
      <c r="V94" s="23" t="str">
        <f aca="false">IF(S94&gt;='판정 기준'!$B$3,"H","L")&amp;IF(T94&gt;='판정 기준'!$B$3,"H","L")&amp;IF(U94&gt;='판정 기준'!$B$3,"H","L")</f>
        <v>HLH</v>
      </c>
      <c r="W94" s="36" t="str">
        <f aca="false">INDEX('포지션 정의'!$A$2:$A$9,MATCH(V94,'포지션 정의'!$D$2:$D$9,0))</f>
        <v>D</v>
      </c>
      <c r="X94" s="36" t="str">
        <f aca="false">INDEX('포지션 정의'!$B$2:$B$9,MATCH(V94,'포지션 정의'!$D$2:$D$9,0))</f>
        <v>실전 승부사형</v>
      </c>
      <c r="Y94" s="43" t="str">
        <f aca="false">IF(AJ94="","가장 높은 지표: "&amp;AP94,LEFT(AJ94,LEN(AJ94)-2))</f>
        <v>경기긴장도, 사회적 도움 활용, 실수 후 회복력, 자기 통제력</v>
      </c>
      <c r="Z94" s="43" t="str">
        <f aca="false">IF(MAX(AK94:AO94)=0,"심화: "&amp;IF(N94=MIN(G94,Q94,K94,N94,P94),"실수 후 회복력",IF(K94=MIN(G94,Q94,K94,N94,P94),"경기 준비 능력",IF(G94=MIN(G94,Q94,K94,N94,P94),"경기긴장도",IF(P94=MIN(G94,Q94,K94,N94,P94),"자기 통제력","사회적 도움 활용")))),IF(MAX(AK94:AO94)&gt;='판정 기준'!$B$8-'판정 기준'!$B$4,IF(AN94=MAX(AK94:AO94),"실수 후 회복력",IF(AM94=MAX(AK94:AO94),"경기 준비 능력",IF(AK94=MAX(AK94:AO94),"경기긴장도",IF(AO94=MAX(AK94:AO94),"자기 통제력","사회적 도움 활용")))),IF(AN94&gt;0,"실수 후 회복력",IF(AM94&gt;0,"경기 준비 능력",IF(AK94&gt;0,"경기긴장도",IF(AO94&gt;0,"자기 통제력","사회적 도움 활용"))))))</f>
        <v>경기 준비 능력</v>
      </c>
      <c r="AA94" s="43" t="str">
        <f aca="false">INDEX('포지션 정의'!$L$2:$L$9,MATCH(V94,'포지션 정의'!$D$2:$D$9,0))</f>
        <v>즐라탄 이브라히모비치 · 호나우지뉴 · 디에고 마라도나</v>
      </c>
      <c r="AB94" s="24" t="n">
        <f aca="false">ROUND(100*(1-SQRT(((S94-'포지션 정의'!$N$2)^2+(T94-'포지션 정의'!$O$2)^2+(U94-'포지션 정의'!$P$2)^2)/3)/'판정 기준'!$B$7),0)</f>
        <v>79</v>
      </c>
      <c r="AC94" s="24" t="n">
        <f aca="false">ROUND(100*(1-SQRT(((S94-'포지션 정의'!$N$3)^2+(T94-'포지션 정의'!$O$3)^2+(U94-'포지션 정의'!$P$3)^2)/3)/'판정 기준'!$B$7),0)</f>
        <v>84</v>
      </c>
      <c r="AD94" s="24" t="n">
        <f aca="false">ROUND(100*(1-SQRT(((S94-'포지션 정의'!$N$4)^2+(T94-'포지션 정의'!$O$4)^2+(U94-'포지션 정의'!$P$4)^2)/3)/'판정 기준'!$B$7),0)</f>
        <v>85</v>
      </c>
      <c r="AE94" s="24" t="n">
        <f aca="false">ROUND(100*(1-SQRT(((S94-'포지션 정의'!$N$5)^2+(T94-'포지션 정의'!$O$5)^2+(U94-'포지션 정의'!$P$5)^2)/3)/'판정 기준'!$B$7),0)</f>
        <v>92</v>
      </c>
      <c r="AF94" s="24" t="n">
        <f aca="false">ROUND(100*(1-SQRT(((S94-'포지션 정의'!$N$6)^2+(T94-'포지션 정의'!$O$6)^2+(U94-'포지션 정의'!$P$6)^2)/3)/'판정 기준'!$B$7),0)</f>
        <v>84</v>
      </c>
      <c r="AG94" s="24" t="n">
        <f aca="false">ROUND(100*(1-SQRT(((S94-'포지션 정의'!$N$7)^2+(T94-'포지션 정의'!$O$7)^2+(U94-'포지션 정의'!$P$7)^2)/3)/'판정 기준'!$B$7),0)</f>
        <v>83</v>
      </c>
      <c r="AH94" s="24" t="n">
        <f aca="false">ROUND(100*(1-SQRT(((S94-'포지션 정의'!$N$8)^2+(T94-'포지션 정의'!$O$8)^2+(U94-'포지션 정의'!$P$8)^2)/3)/'판정 기준'!$B$7),0)</f>
        <v>80</v>
      </c>
      <c r="AI94" s="24" t="n">
        <f aca="false">ROUND(100*(1-SQRT(((S94-'포지션 정의'!$N$9)^2+(T94-'포지션 정의'!$O$9)^2+(U94-'포지션 정의'!$P$9)^2)/3)/'판정 기준'!$B$7),0)</f>
        <v>90</v>
      </c>
      <c r="AJ94" s="23" t="str">
        <f aca="false">IF(G94&gt;='판정 기준'!$B$8,"경기긴장도, ","")&amp;IF(Q94&gt;='판정 기준'!$B$8,"사회적 도움 활용, ","")&amp;IF(K94&gt;='판정 기준'!$B$8,"경기 준비 능력, ","")&amp;IF(N94&gt;='판정 기준'!$B$8,"실수 후 회복력, ","")&amp;IF(P94&gt;='판정 기준'!$B$8,"자기 통제력, ","")</f>
        <v>경기긴장도, 사회적 도움 활용, 실수 후 회복력, 자기 통제력, </v>
      </c>
      <c r="AK94" s="23" t="n">
        <f aca="false">IF(AND(G94&lt;'판정 기준'!$B$8,OR(AJ94&lt;&gt;"",AP94&lt;&gt;"경기긴장도")),G94,0)</f>
        <v>0</v>
      </c>
      <c r="AL94" s="23" t="n">
        <f aca="false">IF(AND(Q94&lt;'판정 기준'!$B$8,OR(AJ94&lt;&gt;"",AP94&lt;&gt;"사회적 도움 활용")),Q94,0)</f>
        <v>0</v>
      </c>
      <c r="AM94" s="23" t="n">
        <f aca="false">IF(AND(K94&lt;'판정 기준'!$B$8,OR(AJ94&lt;&gt;"",AP94&lt;&gt;"경기 준비 능력")),K94,0)</f>
        <v>4.4</v>
      </c>
      <c r="AN94" s="23" t="n">
        <f aca="false">IF(AND(N94&lt;'판정 기준'!$B$8,OR(AJ94&lt;&gt;"",AP94&lt;&gt;"실수 후 회복력")),N94,0)</f>
        <v>0</v>
      </c>
      <c r="AO94" s="23" t="n">
        <f aca="false">IF(AND(P94&lt;'판정 기준'!$B$8,OR(AJ94&lt;&gt;"",AP94&lt;&gt;"자기 통제력")),P94,0)</f>
        <v>0</v>
      </c>
      <c r="AP94" s="23" t="str">
        <f aca="false">IF(Q94=MAX(G94,Q94,K94,N94,P94),"사회적 도움 활용",IF(P94=MAX(G94,Q94,K94,N94,P94),"자기 통제력",IF(G94=MAX(G94,Q94,K94,N94,P94),"경기긴장도",IF(K94=MAX(G94,Q94,K94,N94,P94),"경기 준비 능력","실수 후 회복력"))))</f>
        <v>사회적 도움 활용</v>
      </c>
    </row>
    <row r="95" customFormat="false" ht="17.15" hidden="false" customHeight="false" outlineLevel="0" collapsed="false">
      <c r="A95" s="13" t="s">
        <v>307</v>
      </c>
      <c r="B95" s="13" t="s">
        <v>187</v>
      </c>
      <c r="C95" s="13" t="s">
        <v>292</v>
      </c>
      <c r="D95" s="14" t="n">
        <v>46169</v>
      </c>
      <c r="E95" s="41" t="s">
        <v>193</v>
      </c>
      <c r="F95" s="42" t="n">
        <v>3.9</v>
      </c>
      <c r="G95" s="42" t="n">
        <v>3.1</v>
      </c>
      <c r="H95" s="42" t="n">
        <v>3</v>
      </c>
      <c r="I95" s="42" t="n">
        <v>3.6</v>
      </c>
      <c r="J95" s="42" t="n">
        <v>3.2</v>
      </c>
      <c r="K95" s="42" t="n">
        <v>5.5</v>
      </c>
      <c r="L95" s="42" t="n">
        <v>5</v>
      </c>
      <c r="M95" s="42" t="n">
        <v>6</v>
      </c>
      <c r="N95" s="42" t="n">
        <v>4.1</v>
      </c>
      <c r="O95" s="42" t="n">
        <v>4.2</v>
      </c>
      <c r="P95" s="42" t="n">
        <v>2.5</v>
      </c>
      <c r="Q95" s="42" t="n">
        <v>4.8</v>
      </c>
      <c r="R95" s="42" t="n">
        <v>5.7</v>
      </c>
      <c r="S95" s="37" t="n">
        <f aca="false">AVERAGE(G95:J95)</f>
        <v>3.225</v>
      </c>
      <c r="T95" s="37" t="n">
        <f aca="false">AVERAGE(K95:M95)</f>
        <v>5.5</v>
      </c>
      <c r="U95" s="37" t="n">
        <f aca="false">AVERAGE(N95:O95)</f>
        <v>4.15</v>
      </c>
      <c r="V95" s="23" t="str">
        <f aca="false">IF(S95&gt;='판정 기준'!$B$3,"H","L")&amp;IF(T95&gt;='판정 기준'!$B$3,"H","L")&amp;IF(U95&gt;='판정 기준'!$B$3,"H","L")</f>
        <v>LHL</v>
      </c>
      <c r="W95" s="36" t="str">
        <f aca="false">INDEX('포지션 정의'!$A$2:$A$9,MATCH(V95,'포지션 정의'!$D$2:$D$9,0))</f>
        <v>A</v>
      </c>
      <c r="X95" s="36" t="str">
        <f aca="false">INDEX('포지션 정의'!$B$2:$B$9,MATCH(V95,'포지션 정의'!$D$2:$D$9,0))</f>
        <v>섬세한 준비형</v>
      </c>
      <c r="Y95" s="43" t="str">
        <f aca="false">IF(AJ95="","가장 높은 지표: "&amp;AP95,LEFT(AJ95,LEN(AJ95)-2))</f>
        <v>사회적 도움 활용, 경기 준비 능력</v>
      </c>
      <c r="Z95" s="43" t="str">
        <f aca="false">IF(MAX(AK95:AO95)=0,"심화: "&amp;IF(N95=MIN(G95,Q95,K95,N95,P95),"실수 후 회복력",IF(K95=MIN(G95,Q95,K95,N95,P95),"경기 준비 능력",IF(G95=MIN(G95,Q95,K95,N95,P95),"경기긴장도",IF(P95=MIN(G95,Q95,K95,N95,P95),"자기 통제력","사회적 도움 활용")))),IF(MAX(AK95:AO95)&gt;='판정 기준'!$B$8-'판정 기준'!$B$4,IF(AN95=MAX(AK95:AO95),"실수 후 회복력",IF(AM95=MAX(AK95:AO95),"경기 준비 능력",IF(AK95=MAX(AK95:AO95),"경기긴장도",IF(AO95=MAX(AK95:AO95),"자기 통제력","사회적 도움 활용")))),IF(AN95&gt;0,"실수 후 회복력",IF(AM95&gt;0,"경기 준비 능력",IF(AK95&gt;0,"경기긴장도",IF(AO95&gt;0,"자기 통제력","사회적 도움 활용"))))))</f>
        <v>실수 후 회복력</v>
      </c>
      <c r="AA95" s="43" t="str">
        <f aca="false">INDEX('포지션 정의'!$L$2:$L$9,MATCH(V95,'포지션 정의'!$D$2:$D$9,0))</f>
        <v>로베르트 레반도프스키 · 제임스 밀너 · 마르틴 외데고르</v>
      </c>
      <c r="AB95" s="24" t="n">
        <f aca="false">ROUND(100*(1-SQRT(((S95-'포지션 정의'!$N$2)^2+(T95-'포지션 정의'!$O$2)^2+(U95-'포지션 정의'!$P$2)^2)/3)/'판정 기준'!$B$7),0)</f>
        <v>91</v>
      </c>
      <c r="AC95" s="24" t="n">
        <f aca="false">ROUND(100*(1-SQRT(((S95-'포지션 정의'!$N$3)^2+(T95-'포지션 정의'!$O$3)^2+(U95-'포지션 정의'!$P$3)^2)/3)/'판정 기준'!$B$7),0)</f>
        <v>77</v>
      </c>
      <c r="AD95" s="24" t="n">
        <f aca="false">ROUND(100*(1-SQRT(((S95-'포지션 정의'!$N$4)^2+(T95-'포지션 정의'!$O$4)^2+(U95-'포지션 정의'!$P$4)^2)/3)/'판정 기준'!$B$7),0)</f>
        <v>70</v>
      </c>
      <c r="AE95" s="24" t="n">
        <f aca="false">ROUND(100*(1-SQRT(((S95-'포지션 정의'!$N$5)^2+(T95-'포지션 정의'!$O$5)^2+(U95-'포지션 정의'!$P$5)^2)/3)/'판정 기준'!$B$7),0)</f>
        <v>68</v>
      </c>
      <c r="AF95" s="24" t="n">
        <f aca="false">ROUND(100*(1-SQRT(((S95-'포지션 정의'!$N$6)^2+(T95-'포지션 정의'!$O$6)^2+(U95-'포지션 정의'!$P$6)^2)/3)/'판정 기준'!$B$7),0)</f>
        <v>76</v>
      </c>
      <c r="AG95" s="24" t="n">
        <f aca="false">ROUND(100*(1-SQRT(((S95-'포지션 정의'!$N$7)^2+(T95-'포지션 정의'!$O$7)^2+(U95-'포지션 정의'!$P$7)^2)/3)/'판정 기준'!$B$7),0)</f>
        <v>86</v>
      </c>
      <c r="AH95" s="24" t="n">
        <f aca="false">ROUND(100*(1-SQRT(((S95-'포지션 정의'!$N$8)^2+(T95-'포지션 정의'!$O$8)^2+(U95-'포지션 정의'!$P$8)^2)/3)/'판정 기준'!$B$7),0)</f>
        <v>79</v>
      </c>
      <c r="AI95" s="24" t="n">
        <f aca="false">ROUND(100*(1-SQRT(((S95-'포지션 정의'!$N$9)^2+(T95-'포지션 정의'!$O$9)^2+(U95-'포지션 정의'!$P$9)^2)/3)/'판정 기준'!$B$7),0)</f>
        <v>74</v>
      </c>
      <c r="AJ95" s="23" t="str">
        <f aca="false">IF(G95&gt;='판정 기준'!$B$8,"경기긴장도, ","")&amp;IF(Q95&gt;='판정 기준'!$B$8,"사회적 도움 활용, ","")&amp;IF(K95&gt;='판정 기준'!$B$8,"경기 준비 능력, ","")&amp;IF(N95&gt;='판정 기준'!$B$8,"실수 후 회복력, ","")&amp;IF(P95&gt;='판정 기준'!$B$8,"자기 통제력, ","")</f>
        <v>사회적 도움 활용, 경기 준비 능력, </v>
      </c>
      <c r="AK95" s="23" t="n">
        <f aca="false">IF(AND(G95&lt;'판정 기준'!$B$8,OR(AJ95&lt;&gt;"",AP95&lt;&gt;"경기긴장도")),G95,0)</f>
        <v>3.1</v>
      </c>
      <c r="AL95" s="23" t="n">
        <f aca="false">IF(AND(Q95&lt;'판정 기준'!$B$8,OR(AJ95&lt;&gt;"",AP95&lt;&gt;"사회적 도움 활용")),Q95,0)</f>
        <v>0</v>
      </c>
      <c r="AM95" s="23" t="n">
        <f aca="false">IF(AND(K95&lt;'판정 기준'!$B$8,OR(AJ95&lt;&gt;"",AP95&lt;&gt;"경기 준비 능력")),K95,0)</f>
        <v>0</v>
      </c>
      <c r="AN95" s="23" t="n">
        <f aca="false">IF(AND(N95&lt;'판정 기준'!$B$8,OR(AJ95&lt;&gt;"",AP95&lt;&gt;"실수 후 회복력")),N95,0)</f>
        <v>4.1</v>
      </c>
      <c r="AO95" s="23" t="n">
        <f aca="false">IF(AND(P95&lt;'판정 기준'!$B$8,OR(AJ95&lt;&gt;"",AP95&lt;&gt;"자기 통제력")),P95,0)</f>
        <v>2.5</v>
      </c>
      <c r="AP95" s="23" t="str">
        <f aca="false">IF(Q95=MAX(G95,Q95,K95,N95,P95),"사회적 도움 활용",IF(P95=MAX(G95,Q95,K95,N95,P95),"자기 통제력",IF(G95=MAX(G95,Q95,K95,N95,P95),"경기긴장도",IF(K95=MAX(G95,Q95,K95,N95,P95),"경기 준비 능력","실수 후 회복력"))))</f>
        <v>경기 준비 능력</v>
      </c>
    </row>
    <row r="96" customFormat="false" ht="17.15" hidden="false" customHeight="false" outlineLevel="0" collapsed="false">
      <c r="A96" s="13" t="s">
        <v>308</v>
      </c>
      <c r="B96" s="13" t="s">
        <v>187</v>
      </c>
      <c r="C96" s="13" t="s">
        <v>292</v>
      </c>
      <c r="D96" s="14" t="n">
        <v>46169</v>
      </c>
      <c r="E96" s="41" t="s">
        <v>195</v>
      </c>
      <c r="F96" s="42" t="n">
        <v>3.7</v>
      </c>
      <c r="G96" s="42" t="n">
        <v>3.6</v>
      </c>
      <c r="H96" s="42" t="n">
        <v>2.3</v>
      </c>
      <c r="I96" s="42" t="n">
        <v>5.4</v>
      </c>
      <c r="J96" s="42" t="n">
        <v>2.8</v>
      </c>
      <c r="K96" s="42" t="n">
        <v>4.3</v>
      </c>
      <c r="L96" s="42" t="n">
        <v>4.5</v>
      </c>
      <c r="M96" s="42" t="n">
        <v>4.1</v>
      </c>
      <c r="N96" s="42" t="n">
        <v>3.3</v>
      </c>
      <c r="O96" s="42" t="n">
        <v>4</v>
      </c>
      <c r="P96" s="42" t="n">
        <v>3.8</v>
      </c>
      <c r="Q96" s="42" t="n">
        <v>3.8</v>
      </c>
      <c r="R96" s="42" t="n">
        <v>5.3</v>
      </c>
      <c r="S96" s="37" t="n">
        <f aca="false">AVERAGE(G96:J96)</f>
        <v>3.525</v>
      </c>
      <c r="T96" s="37" t="n">
        <f aca="false">AVERAGE(K96:M96)</f>
        <v>4.3</v>
      </c>
      <c r="U96" s="37" t="n">
        <f aca="false">AVERAGE(N96:O96)</f>
        <v>3.65</v>
      </c>
      <c r="V96" s="23" t="str">
        <f aca="false">IF(S96&gt;='판정 기준'!$B$3,"H","L")&amp;IF(T96&gt;='판정 기준'!$B$3,"H","L")&amp;IF(U96&gt;='판정 기준'!$B$3,"H","L")</f>
        <v>LLL</v>
      </c>
      <c r="W96" s="36" t="str">
        <f aca="false">INDEX('포지션 정의'!$A$2:$A$9,MATCH(V96,'포지션 정의'!$D$2:$D$9,0))</f>
        <v>G</v>
      </c>
      <c r="X96" s="36" t="str">
        <f aca="false">INDEX('포지션 정의'!$B$2:$B$9,MATCH(V96,'포지션 정의'!$D$2:$D$9,0))</f>
        <v>스펀지 흡수형</v>
      </c>
      <c r="Y96" s="43" t="str">
        <f aca="false">IF(AJ96="","가장 높은 지표: "&amp;AP96,LEFT(AJ96,LEN(AJ96)-2))</f>
        <v>가장 높은 지표: 경기 준비 능력</v>
      </c>
      <c r="Z96" s="43" t="str">
        <f aca="false">IF(MAX(AK96:AO96)=0,"심화: "&amp;IF(N96=MIN(G96,Q96,K96,N96,P96),"실수 후 회복력",IF(K96=MIN(G96,Q96,K96,N96,P96),"경기 준비 능력",IF(G96=MIN(G96,Q96,K96,N96,P96),"경기긴장도",IF(P96=MIN(G96,Q96,K96,N96,P96),"자기 통제력","사회적 도움 활용")))),IF(MAX(AK96:AO96)&gt;='판정 기준'!$B$8-'판정 기준'!$B$4,IF(AN96=MAX(AK96:AO96),"실수 후 회복력",IF(AM96=MAX(AK96:AO96),"경기 준비 능력",IF(AK96=MAX(AK96:AO96),"경기긴장도",IF(AO96=MAX(AK96:AO96),"자기 통제력","사회적 도움 활용")))),IF(AN96&gt;0,"실수 후 회복력",IF(AM96&gt;0,"경기 준비 능력",IF(AK96&gt;0,"경기긴장도",IF(AO96&gt;0,"자기 통제력","사회적 도움 활용"))))))</f>
        <v>실수 후 회복력</v>
      </c>
      <c r="AA96" s="43" t="str">
        <f aca="false">INDEX('포지션 정의'!$L$2:$L$9,MATCH(V96,'포지션 정의'!$D$2:$D$9,0))</f>
        <v>디디에 드로그바 · 앙투안 그리즈만 · 모하메드 살라</v>
      </c>
      <c r="AB96" s="24" t="n">
        <f aca="false">ROUND(100*(1-SQRT(((S96-'포지션 정의'!$N$2)^2+(T96-'포지션 정의'!$O$2)^2+(U96-'포지션 정의'!$P$2)^2)/3)/'판정 기준'!$B$7),0)</f>
        <v>89</v>
      </c>
      <c r="AC96" s="24" t="n">
        <f aca="false">ROUND(100*(1-SQRT(((S96-'포지션 정의'!$N$3)^2+(T96-'포지션 정의'!$O$3)^2+(U96-'포지션 정의'!$P$3)^2)/3)/'판정 기준'!$B$7),0)</f>
        <v>78</v>
      </c>
      <c r="AD96" s="24" t="n">
        <f aca="false">ROUND(100*(1-SQRT(((S96-'포지션 정의'!$N$4)^2+(T96-'포지션 정의'!$O$4)^2+(U96-'포지션 정의'!$P$4)^2)/3)/'판정 기준'!$B$7),0)</f>
        <v>80</v>
      </c>
      <c r="AE96" s="24" t="n">
        <f aca="false">ROUND(100*(1-SQRT(((S96-'포지션 정의'!$N$5)^2+(T96-'포지션 정의'!$O$5)^2+(U96-'포지션 정의'!$P$5)^2)/3)/'판정 기준'!$B$7),0)</f>
        <v>73</v>
      </c>
      <c r="AF96" s="24" t="n">
        <f aca="false">ROUND(100*(1-SQRT(((S96-'포지션 정의'!$N$6)^2+(T96-'포지션 정의'!$O$6)^2+(U96-'포지션 정의'!$P$6)^2)/3)/'판정 기준'!$B$7),0)</f>
        <v>81</v>
      </c>
      <c r="AG96" s="24" t="n">
        <f aca="false">ROUND(100*(1-SQRT(((S96-'포지션 정의'!$N$7)^2+(T96-'포지션 정의'!$O$7)^2+(U96-'포지션 정의'!$P$7)^2)/3)/'판정 기준'!$B$7),0)</f>
        <v>79</v>
      </c>
      <c r="AH96" s="24" t="n">
        <f aca="false">ROUND(100*(1-SQRT(((S96-'포지션 정의'!$N$8)^2+(T96-'포지션 정의'!$O$8)^2+(U96-'포지션 정의'!$P$8)^2)/3)/'판정 기준'!$B$7),0)</f>
        <v>93</v>
      </c>
      <c r="AI96" s="24" t="n">
        <f aca="false">ROUND(100*(1-SQRT(((S96-'포지션 정의'!$N$9)^2+(T96-'포지션 정의'!$O$9)^2+(U96-'포지션 정의'!$P$9)^2)/3)/'판정 기준'!$B$7),0)</f>
        <v>72</v>
      </c>
      <c r="AJ96" s="23" t="str">
        <f aca="false">IF(G96&gt;='판정 기준'!$B$8,"경기긴장도, ","")&amp;IF(Q96&gt;='판정 기준'!$B$8,"사회적 도움 활용, ","")&amp;IF(K96&gt;='판정 기준'!$B$8,"경기 준비 능력, ","")&amp;IF(N96&gt;='판정 기준'!$B$8,"실수 후 회복력, ","")&amp;IF(P96&gt;='판정 기준'!$B$8,"자기 통제력, ","")</f>
        <v/>
      </c>
      <c r="AK96" s="23" t="n">
        <f aca="false">IF(AND(G96&lt;'판정 기준'!$B$8,OR(AJ96&lt;&gt;"",AP96&lt;&gt;"경기긴장도")),G96,0)</f>
        <v>3.6</v>
      </c>
      <c r="AL96" s="23" t="n">
        <f aca="false">IF(AND(Q96&lt;'판정 기준'!$B$8,OR(AJ96&lt;&gt;"",AP96&lt;&gt;"사회적 도움 활용")),Q96,0)</f>
        <v>3.8</v>
      </c>
      <c r="AM96" s="23" t="n">
        <f aca="false">IF(AND(K96&lt;'판정 기준'!$B$8,OR(AJ96&lt;&gt;"",AP96&lt;&gt;"경기 준비 능력")),K96,0)</f>
        <v>0</v>
      </c>
      <c r="AN96" s="23" t="n">
        <f aca="false">IF(AND(N96&lt;'판정 기준'!$B$8,OR(AJ96&lt;&gt;"",AP96&lt;&gt;"실수 후 회복력")),N96,0)</f>
        <v>3.3</v>
      </c>
      <c r="AO96" s="23" t="n">
        <f aca="false">IF(AND(P96&lt;'판정 기준'!$B$8,OR(AJ96&lt;&gt;"",AP96&lt;&gt;"자기 통제력")),P96,0)</f>
        <v>3.8</v>
      </c>
      <c r="AP96" s="23" t="str">
        <f aca="false">IF(Q96=MAX(G96,Q96,K96,N96,P96),"사회적 도움 활용",IF(P96=MAX(G96,Q96,K96,N96,P96),"자기 통제력",IF(G96=MAX(G96,Q96,K96,N96,P96),"경기긴장도",IF(K96=MAX(G96,Q96,K96,N96,P96),"경기 준비 능력","실수 후 회복력"))))</f>
        <v>경기 준비 능력</v>
      </c>
    </row>
    <row r="97" customFormat="false" ht="17.15" hidden="false" customHeight="false" outlineLevel="0" collapsed="false">
      <c r="A97" s="13" t="s">
        <v>309</v>
      </c>
      <c r="B97" s="13" t="s">
        <v>187</v>
      </c>
      <c r="C97" s="13" t="s">
        <v>292</v>
      </c>
      <c r="D97" s="14" t="n">
        <v>46169</v>
      </c>
      <c r="E97" s="41" t="s">
        <v>195</v>
      </c>
      <c r="F97" s="42" t="n">
        <v>5.5</v>
      </c>
      <c r="G97" s="42" t="n">
        <v>5</v>
      </c>
      <c r="H97" s="42" t="n">
        <v>5.5</v>
      </c>
      <c r="I97" s="42" t="n">
        <v>6</v>
      </c>
      <c r="J97" s="42" t="n">
        <v>4.8</v>
      </c>
      <c r="K97" s="42" t="n">
        <v>5.9</v>
      </c>
      <c r="L97" s="42" t="n">
        <v>5.8</v>
      </c>
      <c r="M97" s="42" t="n">
        <v>6</v>
      </c>
      <c r="N97" s="42" t="n">
        <v>5.3</v>
      </c>
      <c r="O97" s="42" t="n">
        <v>5.2</v>
      </c>
      <c r="P97" s="42" t="n">
        <v>6</v>
      </c>
      <c r="Q97" s="42" t="n">
        <v>5.8</v>
      </c>
      <c r="R97" s="42" t="n">
        <v>6</v>
      </c>
      <c r="S97" s="37" t="n">
        <f aca="false">AVERAGE(G97:J97)</f>
        <v>5.325</v>
      </c>
      <c r="T97" s="37" t="n">
        <f aca="false">AVERAGE(K97:M97)</f>
        <v>5.9</v>
      </c>
      <c r="U97" s="37" t="n">
        <f aca="false">AVERAGE(N97:O97)</f>
        <v>5.25</v>
      </c>
      <c r="V97" s="23" t="str">
        <f aca="false">IF(S97&gt;='판정 기준'!$B$3,"H","L")&amp;IF(T97&gt;='판정 기준'!$B$3,"H","L")&amp;IF(U97&gt;='판정 기준'!$B$3,"H","L")</f>
        <v>HHH</v>
      </c>
      <c r="W97" s="36" t="str">
        <f aca="false">INDEX('포지션 정의'!$A$2:$A$9,MATCH(V97,'포지션 정의'!$D$2:$D$9,0))</f>
        <v>H</v>
      </c>
      <c r="X97" s="36" t="str">
        <f aca="false">INDEX('포지션 정의'!$B$2:$B$9,MATCH(V97,'포지션 정의'!$D$2:$D$9,0))</f>
        <v>올라운드 밸런스형</v>
      </c>
      <c r="Y97" s="43" t="str">
        <f aca="false">IF(AJ97="","가장 높은 지표: "&amp;AP97,LEFT(AJ97,LEN(AJ97)-2))</f>
        <v>경기긴장도, 사회적 도움 활용, 경기 준비 능력, 실수 후 회복력, 자기 통제력</v>
      </c>
      <c r="Z97" s="43" t="str">
        <f aca="false">IF(MAX(AK97:AO97)=0,"심화: "&amp;IF(N97=MIN(G97,Q97,K97,N97,P97),"실수 후 회복력",IF(K97=MIN(G97,Q97,K97,N97,P97),"경기 준비 능력",IF(G97=MIN(G97,Q97,K97,N97,P97),"경기긴장도",IF(P97=MIN(G97,Q97,K97,N97,P97),"자기 통제력","사회적 도움 활용")))),IF(MAX(AK97:AO97)&gt;='판정 기준'!$B$8-'판정 기준'!$B$4,IF(AN97=MAX(AK97:AO97),"실수 후 회복력",IF(AM97=MAX(AK97:AO97),"경기 준비 능력",IF(AK97=MAX(AK97:AO97),"경기긴장도",IF(AO97=MAX(AK97:AO97),"자기 통제력","사회적 도움 활용")))),IF(AN97&gt;0,"실수 후 회복력",IF(AM97&gt;0,"경기 준비 능력",IF(AK97&gt;0,"경기긴장도",IF(AO97&gt;0,"자기 통제력","사회적 도움 활용"))))))</f>
        <v>심화: 경기긴장도</v>
      </c>
      <c r="AA97" s="43" t="str">
        <f aca="false">INDEX('포지션 정의'!$L$2:$L$9,MATCH(V97,'포지션 정의'!$D$2:$D$9,0))</f>
        <v>크리스티아누 호날두 · 루카 모드리치 · 버질 반 다이크</v>
      </c>
      <c r="AB97" s="24" t="n">
        <f aca="false">ROUND(100*(1-SQRT(((S97-'포지션 정의'!$N$2)^2+(T97-'포지션 정의'!$O$2)^2+(U97-'포지션 정의'!$P$2)^2)/3)/'판정 기준'!$B$7),0)</f>
        <v>74</v>
      </c>
      <c r="AC97" s="24" t="n">
        <f aca="false">ROUND(100*(1-SQRT(((S97-'포지션 정의'!$N$3)^2+(T97-'포지션 정의'!$O$3)^2+(U97-'포지션 정의'!$P$3)^2)/3)/'판정 기준'!$B$7),0)</f>
        <v>81</v>
      </c>
      <c r="AD97" s="24" t="n">
        <f aca="false">ROUND(100*(1-SQRT(((S97-'포지션 정의'!$N$4)^2+(T97-'포지션 정의'!$O$4)^2+(U97-'포지션 정의'!$P$4)^2)/3)/'판정 기준'!$B$7),0)</f>
        <v>70</v>
      </c>
      <c r="AE97" s="24" t="n">
        <f aca="false">ROUND(100*(1-SQRT(((S97-'포지션 정의'!$N$5)^2+(T97-'포지션 정의'!$O$5)^2+(U97-'포지션 정의'!$P$5)^2)/3)/'판정 기준'!$B$7),0)</f>
        <v>76</v>
      </c>
      <c r="AF97" s="24" t="n">
        <f aca="false">ROUND(100*(1-SQRT(((S97-'포지션 정의'!$N$6)^2+(T97-'포지션 정의'!$O$6)^2+(U97-'포지션 정의'!$P$6)^2)/3)/'판정 기준'!$B$7),0)</f>
        <v>70</v>
      </c>
      <c r="AG97" s="24" t="n">
        <f aca="false">ROUND(100*(1-SQRT(((S97-'포지션 정의'!$N$7)^2+(T97-'포지션 정의'!$O$7)^2+(U97-'포지션 정의'!$P$7)^2)/3)/'판정 기준'!$B$7),0)</f>
        <v>81</v>
      </c>
      <c r="AH97" s="24" t="n">
        <f aca="false">ROUND(100*(1-SQRT(((S97-'포지션 정의'!$N$8)^2+(T97-'포지션 정의'!$O$8)^2+(U97-'포지션 정의'!$P$8)^2)/3)/'판정 기준'!$B$7),0)</f>
        <v>66</v>
      </c>
      <c r="AI97" s="24" t="n">
        <f aca="false">ROUND(100*(1-SQRT(((S97-'포지션 정의'!$N$9)^2+(T97-'포지션 정의'!$O$9)^2+(U97-'포지션 정의'!$P$9)^2)/3)/'판정 기준'!$B$7),0)</f>
        <v>92</v>
      </c>
      <c r="AJ97" s="23" t="str">
        <f aca="false">IF(G97&gt;='판정 기준'!$B$8,"경기긴장도, ","")&amp;IF(Q97&gt;='판정 기준'!$B$8,"사회적 도움 활용, ","")&amp;IF(K97&gt;='판정 기준'!$B$8,"경기 준비 능력, ","")&amp;IF(N97&gt;='판정 기준'!$B$8,"실수 후 회복력, ","")&amp;IF(P97&gt;='판정 기준'!$B$8,"자기 통제력, ","")</f>
        <v>경기긴장도, 사회적 도움 활용, 경기 준비 능력, 실수 후 회복력, 자기 통제력, </v>
      </c>
      <c r="AK97" s="23" t="n">
        <f aca="false">IF(AND(G97&lt;'판정 기준'!$B$8,OR(AJ97&lt;&gt;"",AP97&lt;&gt;"경기긴장도")),G97,0)</f>
        <v>0</v>
      </c>
      <c r="AL97" s="23" t="n">
        <f aca="false">IF(AND(Q97&lt;'판정 기준'!$B$8,OR(AJ97&lt;&gt;"",AP97&lt;&gt;"사회적 도움 활용")),Q97,0)</f>
        <v>0</v>
      </c>
      <c r="AM97" s="23" t="n">
        <f aca="false">IF(AND(K97&lt;'판정 기준'!$B$8,OR(AJ97&lt;&gt;"",AP97&lt;&gt;"경기 준비 능력")),K97,0)</f>
        <v>0</v>
      </c>
      <c r="AN97" s="23" t="n">
        <f aca="false">IF(AND(N97&lt;'판정 기준'!$B$8,OR(AJ97&lt;&gt;"",AP97&lt;&gt;"실수 후 회복력")),N97,0)</f>
        <v>0</v>
      </c>
      <c r="AO97" s="23" t="n">
        <f aca="false">IF(AND(P97&lt;'판정 기준'!$B$8,OR(AJ97&lt;&gt;"",AP97&lt;&gt;"자기 통제력")),P97,0)</f>
        <v>0</v>
      </c>
      <c r="AP97" s="23" t="str">
        <f aca="false">IF(Q97=MAX(G97,Q97,K97,N97,P97),"사회적 도움 활용",IF(P97=MAX(G97,Q97,K97,N97,P97),"자기 통제력",IF(G97=MAX(G97,Q97,K97,N97,P97),"경기긴장도",IF(K97=MAX(G97,Q97,K97,N97,P97),"경기 준비 능력","실수 후 회복력"))))</f>
        <v>자기 통제력</v>
      </c>
    </row>
    <row r="98" customFormat="false" ht="17.15" hidden="false" customHeight="false" outlineLevel="0" collapsed="false">
      <c r="A98" s="13" t="s">
        <v>310</v>
      </c>
      <c r="B98" s="13" t="s">
        <v>187</v>
      </c>
      <c r="C98" s="13" t="s">
        <v>292</v>
      </c>
      <c r="D98" s="14" t="n">
        <v>46169</v>
      </c>
      <c r="E98" s="41" t="s">
        <v>193</v>
      </c>
      <c r="F98" s="42" t="n">
        <v>5</v>
      </c>
      <c r="G98" s="42" t="n">
        <v>4.4</v>
      </c>
      <c r="H98" s="42" t="n">
        <v>4.2</v>
      </c>
      <c r="I98" s="42" t="n">
        <v>5</v>
      </c>
      <c r="J98" s="42" t="n">
        <v>4</v>
      </c>
      <c r="K98" s="42" t="n">
        <v>4.8</v>
      </c>
      <c r="L98" s="42" t="n">
        <v>4.3</v>
      </c>
      <c r="M98" s="42" t="n">
        <v>5.1</v>
      </c>
      <c r="N98" s="42" t="n">
        <v>5.7</v>
      </c>
      <c r="O98" s="42" t="n">
        <v>5.7</v>
      </c>
      <c r="P98" s="42" t="n">
        <v>4.7</v>
      </c>
      <c r="Q98" s="42" t="n">
        <v>5.8</v>
      </c>
      <c r="R98" s="42" t="n">
        <v>6</v>
      </c>
      <c r="S98" s="37" t="n">
        <f aca="false">AVERAGE(G98:J98)</f>
        <v>4.4</v>
      </c>
      <c r="T98" s="37" t="n">
        <f aca="false">AVERAGE(K98:M98)</f>
        <v>4.73333333333333</v>
      </c>
      <c r="U98" s="37" t="n">
        <f aca="false">AVERAGE(N98:O98)</f>
        <v>5.7</v>
      </c>
      <c r="V98" s="23" t="str">
        <f aca="false">IF(S98&gt;='판정 기준'!$B$3,"H","L")&amp;IF(T98&gt;='판정 기준'!$B$3,"H","L")&amp;IF(U98&gt;='판정 기준'!$B$3,"H","L")</f>
        <v>LHH</v>
      </c>
      <c r="W98" s="36" t="str">
        <f aca="false">INDEX('포지션 정의'!$A$2:$A$9,MATCH(V98,'포지션 정의'!$D$2:$D$9,0))</f>
        <v>F</v>
      </c>
      <c r="X98" s="36" t="str">
        <f aca="false">INDEX('포지션 정의'!$B$2:$B$9,MATCH(V98,'포지션 정의'!$D$2:$D$9,0))</f>
        <v>성실한 도전자형</v>
      </c>
      <c r="Y98" s="43" t="str">
        <f aca="false">IF(AJ98="","가장 높은 지표: "&amp;AP98,LEFT(AJ98,LEN(AJ98)-2))</f>
        <v>사회적 도움 활용, 경기 준비 능력, 실수 후 회복력</v>
      </c>
      <c r="Z98" s="43" t="str">
        <f aca="false">IF(MAX(AK98:AO98)=0,"심화: "&amp;IF(N98=MIN(G98,Q98,K98,N98,P98),"실수 후 회복력",IF(K98=MIN(G98,Q98,K98,N98,P98),"경기 준비 능력",IF(G98=MIN(G98,Q98,K98,N98,P98),"경기긴장도",IF(P98=MIN(G98,Q98,K98,N98,P98),"자기 통제력","사회적 도움 활용")))),IF(MAX(AK98:AO98)&gt;='판정 기준'!$B$8-'판정 기준'!$B$4,IF(AN98=MAX(AK98:AO98),"실수 후 회복력",IF(AM98=MAX(AK98:AO98),"경기 준비 능력",IF(AK98=MAX(AK98:AO98),"경기긴장도",IF(AO98=MAX(AK98:AO98),"자기 통제력","사회적 도움 활용")))),IF(AN98&gt;0,"실수 후 회복력",IF(AM98&gt;0,"경기 준비 능력",IF(AK98&gt;0,"경기긴장도",IF(AO98&gt;0,"자기 통제력","사회적 도움 활용"))))))</f>
        <v>자기 통제력</v>
      </c>
      <c r="AA98" s="43" t="str">
        <f aca="false">INDEX('포지션 정의'!$L$2:$L$9,MATCH(V98,'포지션 정의'!$D$2:$D$9,0))</f>
        <v>제이미 바디 · 은골로 캉테 · 박지성</v>
      </c>
      <c r="AB98" s="24" t="n">
        <f aca="false">ROUND(100*(1-SQRT(((S98-'포지션 정의'!$N$2)^2+(T98-'포지션 정의'!$O$2)^2+(U98-'포지션 정의'!$P$2)^2)/3)/'판정 기준'!$B$7),0)</f>
        <v>76</v>
      </c>
      <c r="AC98" s="24" t="n">
        <f aca="false">ROUND(100*(1-SQRT(((S98-'포지션 정의'!$N$3)^2+(T98-'포지션 정의'!$O$3)^2+(U98-'포지션 정의'!$P$3)^2)/3)/'판정 기준'!$B$7),0)</f>
        <v>76</v>
      </c>
      <c r="AD98" s="24" t="n">
        <f aca="false">ROUND(100*(1-SQRT(((S98-'포지션 정의'!$N$4)^2+(T98-'포지션 정의'!$O$4)^2+(U98-'포지션 정의'!$P$4)^2)/3)/'판정 기준'!$B$7),0)</f>
        <v>74</v>
      </c>
      <c r="AE98" s="24" t="n">
        <f aca="false">ROUND(100*(1-SQRT(((S98-'포지션 정의'!$N$5)^2+(T98-'포지션 정의'!$O$5)^2+(U98-'포지션 정의'!$P$5)^2)/3)/'판정 기준'!$B$7),0)</f>
        <v>85</v>
      </c>
      <c r="AF98" s="24" t="n">
        <f aca="false">ROUND(100*(1-SQRT(((S98-'포지션 정의'!$N$6)^2+(T98-'포지션 정의'!$O$6)^2+(U98-'포지션 정의'!$P$6)^2)/3)/'판정 기준'!$B$7),0)</f>
        <v>86</v>
      </c>
      <c r="AG98" s="24" t="n">
        <f aca="false">ROUND(100*(1-SQRT(((S98-'포지션 정의'!$N$7)^2+(T98-'포지션 정의'!$O$7)^2+(U98-'포지션 정의'!$P$7)^2)/3)/'판정 기준'!$B$7),0)</f>
        <v>89</v>
      </c>
      <c r="AH98" s="24" t="n">
        <f aca="false">ROUND(100*(1-SQRT(((S98-'포지션 정의'!$N$8)^2+(T98-'포지션 정의'!$O$8)^2+(U98-'포지션 정의'!$P$8)^2)/3)/'판정 기준'!$B$7),0)</f>
        <v>75</v>
      </c>
      <c r="AI98" s="24" t="n">
        <f aca="false">ROUND(100*(1-SQRT(((S98-'포지션 정의'!$N$9)^2+(T98-'포지션 정의'!$O$9)^2+(U98-'포지션 정의'!$P$9)^2)/3)/'판정 기준'!$B$7),0)</f>
        <v>88</v>
      </c>
      <c r="AJ98" s="23" t="str">
        <f aca="false">IF(G98&gt;='판정 기준'!$B$8,"경기긴장도, ","")&amp;IF(Q98&gt;='판정 기준'!$B$8,"사회적 도움 활용, ","")&amp;IF(K98&gt;='판정 기준'!$B$8,"경기 준비 능력, ","")&amp;IF(N98&gt;='판정 기준'!$B$8,"실수 후 회복력, ","")&amp;IF(P98&gt;='판정 기준'!$B$8,"자기 통제력, ","")</f>
        <v>사회적 도움 활용, 경기 준비 능력, 실수 후 회복력, </v>
      </c>
      <c r="AK98" s="23" t="n">
        <f aca="false">IF(AND(G98&lt;'판정 기준'!$B$8,OR(AJ98&lt;&gt;"",AP98&lt;&gt;"경기긴장도")),G98,0)</f>
        <v>4.4</v>
      </c>
      <c r="AL98" s="23" t="n">
        <f aca="false">IF(AND(Q98&lt;'판정 기준'!$B$8,OR(AJ98&lt;&gt;"",AP98&lt;&gt;"사회적 도움 활용")),Q98,0)</f>
        <v>0</v>
      </c>
      <c r="AM98" s="23" t="n">
        <f aca="false">IF(AND(K98&lt;'판정 기준'!$B$8,OR(AJ98&lt;&gt;"",AP98&lt;&gt;"경기 준비 능력")),K98,0)</f>
        <v>0</v>
      </c>
      <c r="AN98" s="23" t="n">
        <f aca="false">IF(AND(N98&lt;'판정 기준'!$B$8,OR(AJ98&lt;&gt;"",AP98&lt;&gt;"실수 후 회복력")),N98,0)</f>
        <v>0</v>
      </c>
      <c r="AO98" s="23" t="n">
        <f aca="false">IF(AND(P98&lt;'판정 기준'!$B$8,OR(AJ98&lt;&gt;"",AP98&lt;&gt;"자기 통제력")),P98,0)</f>
        <v>4.7</v>
      </c>
      <c r="AP98" s="23" t="str">
        <f aca="false">IF(Q98=MAX(G98,Q98,K98,N98,P98),"사회적 도움 활용",IF(P98=MAX(G98,Q98,K98,N98,P98),"자기 통제력",IF(G98=MAX(G98,Q98,K98,N98,P98),"경기긴장도",IF(K98=MAX(G98,Q98,K98,N98,P98),"경기 준비 능력","실수 후 회복력"))))</f>
        <v>사회적 도움 활용</v>
      </c>
    </row>
    <row r="99" customFormat="false" ht="17.15" hidden="false" customHeight="false" outlineLevel="0" collapsed="false">
      <c r="A99" s="13" t="s">
        <v>311</v>
      </c>
      <c r="B99" s="13" t="s">
        <v>191</v>
      </c>
      <c r="C99" s="13" t="s">
        <v>312</v>
      </c>
      <c r="D99" s="14" t="n">
        <v>46163</v>
      </c>
      <c r="E99" s="41" t="s">
        <v>195</v>
      </c>
      <c r="F99" s="42" t="n">
        <v>4.5</v>
      </c>
      <c r="G99" s="42" t="n">
        <v>4.6</v>
      </c>
      <c r="H99" s="42" t="n">
        <v>5.2</v>
      </c>
      <c r="I99" s="42" t="n">
        <v>4.8</v>
      </c>
      <c r="J99" s="42" t="n">
        <v>4.7</v>
      </c>
      <c r="K99" s="42" t="n">
        <v>4.7</v>
      </c>
      <c r="L99" s="42" t="n">
        <v>4.2</v>
      </c>
      <c r="M99" s="42" t="n">
        <v>5.1</v>
      </c>
      <c r="N99" s="42" t="n">
        <v>4.7</v>
      </c>
      <c r="O99" s="42" t="n">
        <v>4.8</v>
      </c>
      <c r="P99" s="42" t="n">
        <v>3.7</v>
      </c>
      <c r="Q99" s="42" t="n">
        <v>5</v>
      </c>
      <c r="R99" s="42" t="n">
        <v>5.7</v>
      </c>
      <c r="S99" s="37" t="n">
        <f aca="false">AVERAGE(G99:J99)</f>
        <v>4.825</v>
      </c>
      <c r="T99" s="37" t="n">
        <f aca="false">AVERAGE(K99:M99)</f>
        <v>4.66666666666667</v>
      </c>
      <c r="U99" s="37" t="n">
        <f aca="false">AVERAGE(N99:O99)</f>
        <v>4.75</v>
      </c>
      <c r="V99" s="23" t="str">
        <f aca="false">IF(S99&gt;='판정 기준'!$B$3,"H","L")&amp;IF(T99&gt;='판정 기준'!$B$3,"H","L")&amp;IF(U99&gt;='판정 기준'!$B$3,"H","L")</f>
        <v>HHH</v>
      </c>
      <c r="W99" s="36" t="str">
        <f aca="false">INDEX('포지션 정의'!$A$2:$A$9,MATCH(V99,'포지션 정의'!$D$2:$D$9,0))</f>
        <v>H</v>
      </c>
      <c r="X99" s="36" t="str">
        <f aca="false">INDEX('포지션 정의'!$B$2:$B$9,MATCH(V99,'포지션 정의'!$D$2:$D$9,0))</f>
        <v>올라운드 밸런스형</v>
      </c>
      <c r="Y99" s="43" t="str">
        <f aca="false">IF(AJ99="","가장 높은 지표: "&amp;AP99,LEFT(AJ99,LEN(AJ99)-2))</f>
        <v>사회적 도움 활용</v>
      </c>
      <c r="Z99" s="43" t="str">
        <f aca="false">IF(MAX(AK99:AO99)=0,"심화: "&amp;IF(N99=MIN(G99,Q99,K99,N99,P99),"실수 후 회복력",IF(K99=MIN(G99,Q99,K99,N99,P99),"경기 준비 능력",IF(G99=MIN(G99,Q99,K99,N99,P99),"경기긴장도",IF(P99=MIN(G99,Q99,K99,N99,P99),"자기 통제력","사회적 도움 활용")))),IF(MAX(AK99:AO99)&gt;='판정 기준'!$B$8-'판정 기준'!$B$4,IF(AN99=MAX(AK99:AO99),"실수 후 회복력",IF(AM99=MAX(AK99:AO99),"경기 준비 능력",IF(AK99=MAX(AK99:AO99),"경기긴장도",IF(AO99=MAX(AK99:AO99),"자기 통제력","사회적 도움 활용")))),IF(AN99&gt;0,"실수 후 회복력",IF(AM99&gt;0,"경기 준비 능력",IF(AK99&gt;0,"경기긴장도",IF(AO99&gt;0,"자기 통제력","사회적 도움 활용"))))))</f>
        <v>실수 후 회복력</v>
      </c>
      <c r="AA99" s="43" t="str">
        <f aca="false">INDEX('포지션 정의'!$L$2:$L$9,MATCH(V99,'포지션 정의'!$D$2:$D$9,0))</f>
        <v>크리스티아누 호날두 · 루카 모드리치 · 버질 반 다이크</v>
      </c>
      <c r="AB99" s="24" t="n">
        <f aca="false">ROUND(100*(1-SQRT(((S99-'포지션 정의'!$N$2)^2+(T99-'포지션 정의'!$O$2)^2+(U99-'포지션 정의'!$P$2)^2)/3)/'판정 기준'!$B$7),0)</f>
        <v>83</v>
      </c>
      <c r="AC99" s="24" t="n">
        <f aca="false">ROUND(100*(1-SQRT(((S99-'포지션 정의'!$N$3)^2+(T99-'포지션 정의'!$O$3)^2+(U99-'포지션 정의'!$P$3)^2)/3)/'판정 기준'!$B$7),0)</f>
        <v>87</v>
      </c>
      <c r="AD99" s="24" t="n">
        <f aca="false">ROUND(100*(1-SQRT(((S99-'포지션 정의'!$N$4)^2+(T99-'포지션 정의'!$O$4)^2+(U99-'포지션 정의'!$P$4)^2)/3)/'판정 기준'!$B$7),0)</f>
        <v>85</v>
      </c>
      <c r="AE99" s="24" t="n">
        <f aca="false">ROUND(100*(1-SQRT(((S99-'포지션 정의'!$N$5)^2+(T99-'포지션 정의'!$O$5)^2+(U99-'포지션 정의'!$P$5)^2)/3)/'판정 기준'!$B$7),0)</f>
        <v>88</v>
      </c>
      <c r="AF99" s="24" t="n">
        <f aca="false">ROUND(100*(1-SQRT(((S99-'포지션 정의'!$N$6)^2+(T99-'포지션 정의'!$O$6)^2+(U99-'포지션 정의'!$P$6)^2)/3)/'판정 기준'!$B$7),0)</f>
        <v>84</v>
      </c>
      <c r="AG99" s="24" t="n">
        <f aca="false">ROUND(100*(1-SQRT(((S99-'포지션 정의'!$N$7)^2+(T99-'포지션 정의'!$O$7)^2+(U99-'포지션 정의'!$P$7)^2)/3)/'판정 기준'!$B$7),0)</f>
        <v>86</v>
      </c>
      <c r="AH99" s="24" t="n">
        <f aca="false">ROUND(100*(1-SQRT(((S99-'포지션 정의'!$N$8)^2+(T99-'포지션 정의'!$O$8)^2+(U99-'포지션 정의'!$P$8)^2)/3)/'판정 기준'!$B$7),0)</f>
        <v>81</v>
      </c>
      <c r="AI99" s="24" t="n">
        <f aca="false">ROUND(100*(1-SQRT(((S99-'포지션 정의'!$N$9)^2+(T99-'포지션 정의'!$O$9)^2+(U99-'포지션 정의'!$P$9)^2)/3)/'판정 기준'!$B$7),0)</f>
        <v>91</v>
      </c>
      <c r="AJ99" s="23" t="str">
        <f aca="false">IF(G99&gt;='판정 기준'!$B$8,"경기긴장도, ","")&amp;IF(Q99&gt;='판정 기준'!$B$8,"사회적 도움 활용, ","")&amp;IF(K99&gt;='판정 기준'!$B$8,"경기 준비 능력, ","")&amp;IF(N99&gt;='판정 기준'!$B$8,"실수 후 회복력, ","")&amp;IF(P99&gt;='판정 기준'!$B$8,"자기 통제력, ","")</f>
        <v>사회적 도움 활용, </v>
      </c>
      <c r="AK99" s="23" t="n">
        <f aca="false">IF(AND(G99&lt;'판정 기준'!$B$8,OR(AJ99&lt;&gt;"",AP99&lt;&gt;"경기긴장도")),G99,0)</f>
        <v>4.6</v>
      </c>
      <c r="AL99" s="23" t="n">
        <f aca="false">IF(AND(Q99&lt;'판정 기준'!$B$8,OR(AJ99&lt;&gt;"",AP99&lt;&gt;"사회적 도움 활용")),Q99,0)</f>
        <v>0</v>
      </c>
      <c r="AM99" s="23" t="n">
        <f aca="false">IF(AND(K99&lt;'판정 기준'!$B$8,OR(AJ99&lt;&gt;"",AP99&lt;&gt;"경기 준비 능력")),K99,0)</f>
        <v>4.7</v>
      </c>
      <c r="AN99" s="23" t="n">
        <f aca="false">IF(AND(N99&lt;'판정 기준'!$B$8,OR(AJ99&lt;&gt;"",AP99&lt;&gt;"실수 후 회복력")),N99,0)</f>
        <v>4.7</v>
      </c>
      <c r="AO99" s="23" t="n">
        <f aca="false">IF(AND(P99&lt;'판정 기준'!$B$8,OR(AJ99&lt;&gt;"",AP99&lt;&gt;"자기 통제력")),P99,0)</f>
        <v>3.7</v>
      </c>
      <c r="AP99" s="23" t="str">
        <f aca="false">IF(Q99=MAX(G99,Q99,K99,N99,P99),"사회적 도움 활용",IF(P99=MAX(G99,Q99,K99,N99,P99),"자기 통제력",IF(G99=MAX(G99,Q99,K99,N99,P99),"경기긴장도",IF(K99=MAX(G99,Q99,K99,N99,P99),"경기 준비 능력","실수 후 회복력"))))</f>
        <v>사회적 도움 활용</v>
      </c>
    </row>
    <row r="100" customFormat="false" ht="17.15" hidden="false" customHeight="false" outlineLevel="0" collapsed="false">
      <c r="A100" s="13" t="s">
        <v>313</v>
      </c>
      <c r="B100" s="13" t="s">
        <v>187</v>
      </c>
      <c r="C100" s="13" t="s">
        <v>312</v>
      </c>
      <c r="D100" s="14" t="n">
        <v>46163</v>
      </c>
      <c r="E100" s="41" t="s">
        <v>195</v>
      </c>
      <c r="F100" s="42" t="n">
        <v>5.2</v>
      </c>
      <c r="G100" s="42" t="n">
        <v>5.3</v>
      </c>
      <c r="H100" s="42" t="n">
        <v>6</v>
      </c>
      <c r="I100" s="42" t="n">
        <v>5.6</v>
      </c>
      <c r="J100" s="42" t="n">
        <v>5.3</v>
      </c>
      <c r="K100" s="42" t="n">
        <v>5.3</v>
      </c>
      <c r="L100" s="42" t="n">
        <v>5.5</v>
      </c>
      <c r="M100" s="42" t="n">
        <v>5.1</v>
      </c>
      <c r="N100" s="42" t="n">
        <v>4.9</v>
      </c>
      <c r="O100" s="42" t="n">
        <v>4.8</v>
      </c>
      <c r="P100" s="42" t="n">
        <v>5.5</v>
      </c>
      <c r="Q100" s="42" t="n">
        <v>5.8</v>
      </c>
      <c r="R100" s="42" t="n">
        <v>6</v>
      </c>
      <c r="S100" s="37" t="n">
        <f aca="false">AVERAGE(G100:J100)</f>
        <v>5.55</v>
      </c>
      <c r="T100" s="37" t="n">
        <f aca="false">AVERAGE(K100:M100)</f>
        <v>5.3</v>
      </c>
      <c r="U100" s="37" t="n">
        <f aca="false">AVERAGE(N100:O100)</f>
        <v>4.85</v>
      </c>
      <c r="V100" s="23" t="str">
        <f aca="false">IF(S100&gt;='판정 기준'!$B$3,"H","L")&amp;IF(T100&gt;='판정 기준'!$B$3,"H","L")&amp;IF(U100&gt;='판정 기준'!$B$3,"H","L")</f>
        <v>HHH</v>
      </c>
      <c r="W100" s="36" t="str">
        <f aca="false">INDEX('포지션 정의'!$A$2:$A$9,MATCH(V100,'포지션 정의'!$D$2:$D$9,0))</f>
        <v>H</v>
      </c>
      <c r="X100" s="36" t="str">
        <f aca="false">INDEX('포지션 정의'!$B$2:$B$9,MATCH(V100,'포지션 정의'!$D$2:$D$9,0))</f>
        <v>올라운드 밸런스형</v>
      </c>
      <c r="Y100" s="43" t="str">
        <f aca="false">IF(AJ100="","가장 높은 지표: "&amp;AP100,LEFT(AJ100,LEN(AJ100)-2))</f>
        <v>경기긴장도, 사회적 도움 활용, 경기 준비 능력, 실수 후 회복력, 자기 통제력</v>
      </c>
      <c r="Z100" s="43" t="str">
        <f aca="false">IF(MAX(AK100:AO100)=0,"심화: "&amp;IF(N100=MIN(G100,Q100,K100,N100,P100),"실수 후 회복력",IF(K100=MIN(G100,Q100,K100,N100,P100),"경기 준비 능력",IF(G100=MIN(G100,Q100,K100,N100,P100),"경기긴장도",IF(P100=MIN(G100,Q100,K100,N100,P100),"자기 통제력","사회적 도움 활용")))),IF(MAX(AK100:AO100)&gt;='판정 기준'!$B$8-'판정 기준'!$B$4,IF(AN100=MAX(AK100:AO100),"실수 후 회복력",IF(AM100=MAX(AK100:AO100),"경기 준비 능력",IF(AK100=MAX(AK100:AO100),"경기긴장도",IF(AO100=MAX(AK100:AO100),"자기 통제력","사회적 도움 활용")))),IF(AN100&gt;0,"실수 후 회복력",IF(AM100&gt;0,"경기 준비 능력",IF(AK100&gt;0,"경기긴장도",IF(AO100&gt;0,"자기 통제력","사회적 도움 활용"))))))</f>
        <v>심화: 실수 후 회복력</v>
      </c>
      <c r="AA100" s="43" t="str">
        <f aca="false">INDEX('포지션 정의'!$L$2:$L$9,MATCH(V100,'포지션 정의'!$D$2:$D$9,0))</f>
        <v>크리스티아누 호날두 · 루카 모드리치 · 버질 반 다이크</v>
      </c>
      <c r="AB100" s="24" t="n">
        <f aca="false">ROUND(100*(1-SQRT(((S100-'포지션 정의'!$N$2)^2+(T100-'포지션 정의'!$O$2)^2+(U100-'포지션 정의'!$P$2)^2)/3)/'판정 기준'!$B$7),0)</f>
        <v>76</v>
      </c>
      <c r="AC100" s="24" t="n">
        <f aca="false">ROUND(100*(1-SQRT(((S100-'포지션 정의'!$N$3)^2+(T100-'포지션 정의'!$O$3)^2+(U100-'포지션 정의'!$P$3)^2)/3)/'판정 기준'!$B$7),0)</f>
        <v>87</v>
      </c>
      <c r="AD100" s="24" t="n">
        <f aca="false">ROUND(100*(1-SQRT(((S100-'포지션 정의'!$N$4)^2+(T100-'포지션 정의'!$O$4)^2+(U100-'포지션 정의'!$P$4)^2)/3)/'판정 기준'!$B$7),0)</f>
        <v>78</v>
      </c>
      <c r="AE100" s="24" t="n">
        <f aca="false">ROUND(100*(1-SQRT(((S100-'포지션 정의'!$N$5)^2+(T100-'포지션 정의'!$O$5)^2+(U100-'포지션 정의'!$P$5)^2)/3)/'판정 기준'!$B$7),0)</f>
        <v>82</v>
      </c>
      <c r="AF100" s="24" t="n">
        <f aca="false">ROUND(100*(1-SQRT(((S100-'포지션 정의'!$N$6)^2+(T100-'포지션 정의'!$O$6)^2+(U100-'포지션 정의'!$P$6)^2)/3)/'판정 기준'!$B$7),0)</f>
        <v>73</v>
      </c>
      <c r="AG100" s="24" t="n">
        <f aca="false">ROUND(100*(1-SQRT(((S100-'포지션 정의'!$N$7)^2+(T100-'포지션 정의'!$O$7)^2+(U100-'포지션 정의'!$P$7)^2)/3)/'판정 기준'!$B$7),0)</f>
        <v>79</v>
      </c>
      <c r="AH100" s="24" t="n">
        <f aca="false">ROUND(100*(1-SQRT(((S100-'포지션 정의'!$N$8)^2+(T100-'포지션 정의'!$O$8)^2+(U100-'포지션 정의'!$P$8)^2)/3)/'판정 기준'!$B$7),0)</f>
        <v>71</v>
      </c>
      <c r="AI100" s="24" t="n">
        <f aca="false">ROUND(100*(1-SQRT(((S100-'포지션 정의'!$N$9)^2+(T100-'포지션 정의'!$O$9)^2+(U100-'포지션 정의'!$P$9)^2)/3)/'판정 기준'!$B$7),0)</f>
        <v>94</v>
      </c>
      <c r="AJ100" s="23" t="str">
        <f aca="false">IF(G100&gt;='판정 기준'!$B$8,"경기긴장도, ","")&amp;IF(Q100&gt;='판정 기준'!$B$8,"사회적 도움 활용, ","")&amp;IF(K100&gt;='판정 기준'!$B$8,"경기 준비 능력, ","")&amp;IF(N100&gt;='판정 기준'!$B$8,"실수 후 회복력, ","")&amp;IF(P100&gt;='판정 기준'!$B$8,"자기 통제력, ","")</f>
        <v>경기긴장도, 사회적 도움 활용, 경기 준비 능력, 실수 후 회복력, 자기 통제력, </v>
      </c>
      <c r="AK100" s="23" t="n">
        <f aca="false">IF(AND(G100&lt;'판정 기준'!$B$8,OR(AJ100&lt;&gt;"",AP100&lt;&gt;"경기긴장도")),G100,0)</f>
        <v>0</v>
      </c>
      <c r="AL100" s="23" t="n">
        <f aca="false">IF(AND(Q100&lt;'판정 기준'!$B$8,OR(AJ100&lt;&gt;"",AP100&lt;&gt;"사회적 도움 활용")),Q100,0)</f>
        <v>0</v>
      </c>
      <c r="AM100" s="23" t="n">
        <f aca="false">IF(AND(K100&lt;'판정 기준'!$B$8,OR(AJ100&lt;&gt;"",AP100&lt;&gt;"경기 준비 능력")),K100,0)</f>
        <v>0</v>
      </c>
      <c r="AN100" s="23" t="n">
        <f aca="false">IF(AND(N100&lt;'판정 기준'!$B$8,OR(AJ100&lt;&gt;"",AP100&lt;&gt;"실수 후 회복력")),N100,0)</f>
        <v>0</v>
      </c>
      <c r="AO100" s="23" t="n">
        <f aca="false">IF(AND(P100&lt;'판정 기준'!$B$8,OR(AJ100&lt;&gt;"",AP100&lt;&gt;"자기 통제력")),P100,0)</f>
        <v>0</v>
      </c>
      <c r="AP100" s="23" t="str">
        <f aca="false">IF(Q100=MAX(G100,Q100,K100,N100,P100),"사회적 도움 활용",IF(P100=MAX(G100,Q100,K100,N100,P100),"자기 통제력",IF(G100=MAX(G100,Q100,K100,N100,P100),"경기긴장도",IF(K100=MAX(G100,Q100,K100,N100,P100),"경기 준비 능력","실수 후 회복력"))))</f>
        <v>사회적 도움 활용</v>
      </c>
    </row>
    <row r="101" customFormat="false" ht="17.15" hidden="false" customHeight="false" outlineLevel="0" collapsed="false">
      <c r="A101" s="13" t="s">
        <v>314</v>
      </c>
      <c r="B101" s="13" t="s">
        <v>187</v>
      </c>
      <c r="C101" s="13" t="s">
        <v>315</v>
      </c>
      <c r="D101" s="14" t="n">
        <v>46163</v>
      </c>
      <c r="E101" s="41" t="s">
        <v>193</v>
      </c>
      <c r="F101" s="42" t="n">
        <v>4.4</v>
      </c>
      <c r="G101" s="42" t="n">
        <v>4.2</v>
      </c>
      <c r="H101" s="42" t="n">
        <v>4.2</v>
      </c>
      <c r="I101" s="42" t="n">
        <v>4.4</v>
      </c>
      <c r="J101" s="42" t="n">
        <v>4.5</v>
      </c>
      <c r="K101" s="42" t="n">
        <v>5.5</v>
      </c>
      <c r="L101" s="42" t="n">
        <v>5</v>
      </c>
      <c r="M101" s="42" t="n">
        <v>5.9</v>
      </c>
      <c r="N101" s="42" t="n">
        <v>4.1</v>
      </c>
      <c r="O101" s="42" t="n">
        <v>4</v>
      </c>
      <c r="P101" s="42" t="n">
        <v>3.5</v>
      </c>
      <c r="Q101" s="42" t="n">
        <v>6</v>
      </c>
      <c r="R101" s="42" t="n">
        <v>6</v>
      </c>
      <c r="S101" s="37" t="n">
        <f aca="false">AVERAGE(G101:J101)</f>
        <v>4.325</v>
      </c>
      <c r="T101" s="37" t="n">
        <f aca="false">AVERAGE(K101:M101)</f>
        <v>5.46666666666667</v>
      </c>
      <c r="U101" s="37" t="n">
        <f aca="false">AVERAGE(N101:O101)</f>
        <v>4.05</v>
      </c>
      <c r="V101" s="23" t="str">
        <f aca="false">IF(S101&gt;='판정 기준'!$B$3,"H","L")&amp;IF(T101&gt;='판정 기준'!$B$3,"H","L")&amp;IF(U101&gt;='판정 기준'!$B$3,"H","L")</f>
        <v>LHL</v>
      </c>
      <c r="W101" s="36" t="str">
        <f aca="false">INDEX('포지션 정의'!$A$2:$A$9,MATCH(V101,'포지션 정의'!$D$2:$D$9,0))</f>
        <v>A</v>
      </c>
      <c r="X101" s="36" t="str">
        <f aca="false">INDEX('포지션 정의'!$B$2:$B$9,MATCH(V101,'포지션 정의'!$D$2:$D$9,0))</f>
        <v>섬세한 준비형</v>
      </c>
      <c r="Y101" s="43" t="str">
        <f aca="false">IF(AJ101="","가장 높은 지표: "&amp;AP101,LEFT(AJ101,LEN(AJ101)-2))</f>
        <v>사회적 도움 활용, 경기 준비 능력</v>
      </c>
      <c r="Z101" s="43" t="str">
        <f aca="false">IF(MAX(AK101:AO101)=0,"심화: "&amp;IF(N101=MIN(G101,Q101,K101,N101,P101),"실수 후 회복력",IF(K101=MIN(G101,Q101,K101,N101,P101),"경기 준비 능력",IF(G101=MIN(G101,Q101,K101,N101,P101),"경기긴장도",IF(P101=MIN(G101,Q101,K101,N101,P101),"자기 통제력","사회적 도움 활용")))),IF(MAX(AK101:AO101)&gt;='판정 기준'!$B$8-'판정 기준'!$B$4,IF(AN101=MAX(AK101:AO101),"실수 후 회복력",IF(AM101=MAX(AK101:AO101),"경기 준비 능력",IF(AK101=MAX(AK101:AO101),"경기긴장도",IF(AO101=MAX(AK101:AO101),"자기 통제력","사회적 도움 활용")))),IF(AN101&gt;0,"실수 후 회복력",IF(AM101&gt;0,"경기 준비 능력",IF(AK101&gt;0,"경기긴장도",IF(AO101&gt;0,"자기 통제력","사회적 도움 활용"))))))</f>
        <v>실수 후 회복력</v>
      </c>
      <c r="AA101" s="43" t="str">
        <f aca="false">INDEX('포지션 정의'!$L$2:$L$9,MATCH(V101,'포지션 정의'!$D$2:$D$9,0))</f>
        <v>로베르트 레반도프스키 · 제임스 밀너 · 마르틴 외데고르</v>
      </c>
      <c r="AB101" s="24" t="n">
        <f aca="false">ROUND(100*(1-SQRT(((S101-'포지션 정의'!$N$2)^2+(T101-'포지션 정의'!$O$2)^2+(U101-'포지션 정의'!$P$2)^2)/3)/'판정 기준'!$B$7),0)</f>
        <v>93</v>
      </c>
      <c r="AC101" s="24" t="n">
        <f aca="false">ROUND(100*(1-SQRT(((S101-'포지션 정의'!$N$3)^2+(T101-'포지션 정의'!$O$3)^2+(U101-'포지션 정의'!$P$3)^2)/3)/'판정 기준'!$B$7),0)</f>
        <v>89</v>
      </c>
      <c r="AD101" s="24" t="n">
        <f aca="false">ROUND(100*(1-SQRT(((S101-'포지션 정의'!$N$4)^2+(T101-'포지션 정의'!$O$4)^2+(U101-'포지션 정의'!$P$4)^2)/3)/'판정 기준'!$B$7),0)</f>
        <v>78</v>
      </c>
      <c r="AE101" s="24" t="n">
        <f aca="false">ROUND(100*(1-SQRT(((S101-'포지션 정의'!$N$5)^2+(T101-'포지션 정의'!$O$5)^2+(U101-'포지션 정의'!$P$5)^2)/3)/'판정 기준'!$B$7),0)</f>
        <v>75</v>
      </c>
      <c r="AF101" s="24" t="n">
        <f aca="false">ROUND(100*(1-SQRT(((S101-'포지션 정의'!$N$6)^2+(T101-'포지션 정의'!$O$6)^2+(U101-'포지션 정의'!$P$6)^2)/3)/'판정 기준'!$B$7),0)</f>
        <v>76</v>
      </c>
      <c r="AG101" s="24" t="n">
        <f aca="false">ROUND(100*(1-SQRT(((S101-'포지션 정의'!$N$7)^2+(T101-'포지션 정의'!$O$7)^2+(U101-'포지션 정의'!$P$7)^2)/3)/'판정 기준'!$B$7),0)</f>
        <v>85</v>
      </c>
      <c r="AH101" s="24" t="n">
        <f aca="false">ROUND(100*(1-SQRT(((S101-'포지션 정의'!$N$8)^2+(T101-'포지션 정의'!$O$8)^2+(U101-'포지션 정의'!$P$8)^2)/3)/'판정 기준'!$B$7),0)</f>
        <v>80</v>
      </c>
      <c r="AI101" s="24" t="n">
        <f aca="false">ROUND(100*(1-SQRT(((S101-'포지션 정의'!$N$9)^2+(T101-'포지션 정의'!$O$9)^2+(U101-'포지션 정의'!$P$9)^2)/3)/'판정 기준'!$B$7),0)</f>
        <v>83</v>
      </c>
      <c r="AJ101" s="23" t="str">
        <f aca="false">IF(G101&gt;='판정 기준'!$B$8,"경기긴장도, ","")&amp;IF(Q101&gt;='판정 기준'!$B$8,"사회적 도움 활용, ","")&amp;IF(K101&gt;='판정 기준'!$B$8,"경기 준비 능력, ","")&amp;IF(N101&gt;='판정 기준'!$B$8,"실수 후 회복력, ","")&amp;IF(P101&gt;='판정 기준'!$B$8,"자기 통제력, ","")</f>
        <v>사회적 도움 활용, 경기 준비 능력, </v>
      </c>
      <c r="AK101" s="23" t="n">
        <f aca="false">IF(AND(G101&lt;'판정 기준'!$B$8,OR(AJ101&lt;&gt;"",AP101&lt;&gt;"경기긴장도")),G101,0)</f>
        <v>4.2</v>
      </c>
      <c r="AL101" s="23" t="n">
        <f aca="false">IF(AND(Q101&lt;'판정 기준'!$B$8,OR(AJ101&lt;&gt;"",AP101&lt;&gt;"사회적 도움 활용")),Q101,0)</f>
        <v>0</v>
      </c>
      <c r="AM101" s="23" t="n">
        <f aca="false">IF(AND(K101&lt;'판정 기준'!$B$8,OR(AJ101&lt;&gt;"",AP101&lt;&gt;"경기 준비 능력")),K101,0)</f>
        <v>0</v>
      </c>
      <c r="AN101" s="23" t="n">
        <f aca="false">IF(AND(N101&lt;'판정 기준'!$B$8,OR(AJ101&lt;&gt;"",AP101&lt;&gt;"실수 후 회복력")),N101,0)</f>
        <v>4.1</v>
      </c>
      <c r="AO101" s="23" t="n">
        <f aca="false">IF(AND(P101&lt;'판정 기준'!$B$8,OR(AJ101&lt;&gt;"",AP101&lt;&gt;"자기 통제력")),P101,0)</f>
        <v>3.5</v>
      </c>
      <c r="AP101" s="23" t="str">
        <f aca="false">IF(Q101=MAX(G101,Q101,K101,N101,P101),"사회적 도움 활용",IF(P101=MAX(G101,Q101,K101,N101,P101),"자기 통제력",IF(G101=MAX(G101,Q101,K101,N101,P101),"경기긴장도",IF(K101=MAX(G101,Q101,K101,N101,P101),"경기 준비 능력","실수 후 회복력"))))</f>
        <v>사회적 도움 활용</v>
      </c>
    </row>
    <row r="102" customFormat="false" ht="17.15" hidden="false" customHeight="false" outlineLevel="0" collapsed="false">
      <c r="A102" s="13" t="s">
        <v>316</v>
      </c>
      <c r="B102" s="13" t="s">
        <v>187</v>
      </c>
      <c r="C102" s="13" t="s">
        <v>315</v>
      </c>
      <c r="D102" s="14" t="n">
        <v>46163</v>
      </c>
      <c r="E102" s="41" t="s">
        <v>195</v>
      </c>
      <c r="F102" s="42" t="n">
        <v>5.2</v>
      </c>
      <c r="G102" s="42" t="n">
        <v>5.8</v>
      </c>
      <c r="H102" s="42" t="n">
        <v>5.8</v>
      </c>
      <c r="I102" s="42" t="n">
        <v>5.8</v>
      </c>
      <c r="J102" s="42" t="n">
        <v>5.8</v>
      </c>
      <c r="K102" s="42" t="n">
        <v>5.4</v>
      </c>
      <c r="L102" s="42" t="n">
        <v>5.5</v>
      </c>
      <c r="M102" s="42" t="n">
        <v>5.3</v>
      </c>
      <c r="N102" s="42" t="n">
        <v>4</v>
      </c>
      <c r="O102" s="42" t="n">
        <v>4.7</v>
      </c>
      <c r="P102" s="42" t="n">
        <v>6</v>
      </c>
      <c r="Q102" s="42" t="n">
        <v>6</v>
      </c>
      <c r="R102" s="42" t="n">
        <v>6</v>
      </c>
      <c r="S102" s="37" t="n">
        <f aca="false">AVERAGE(G102:J102)</f>
        <v>5.8</v>
      </c>
      <c r="T102" s="37" t="n">
        <f aca="false">AVERAGE(K102:M102)</f>
        <v>5.4</v>
      </c>
      <c r="U102" s="37" t="n">
        <f aca="false">AVERAGE(N102:O102)</f>
        <v>4.35</v>
      </c>
      <c r="V102" s="23" t="str">
        <f aca="false">IF(S102&gt;='판정 기준'!$B$3,"H","L")&amp;IF(T102&gt;='판정 기준'!$B$3,"H","L")&amp;IF(U102&gt;='판정 기준'!$B$3,"H","L")</f>
        <v>HHL</v>
      </c>
      <c r="W102" s="36" t="str">
        <f aca="false">INDEX('포지션 정의'!$A$2:$A$9,MATCH(V102,'포지션 정의'!$D$2:$D$9,0))</f>
        <v>B</v>
      </c>
      <c r="X102" s="36" t="str">
        <f aca="false">INDEX('포지션 정의'!$B$2:$B$9,MATCH(V102,'포지션 정의'!$D$2:$D$9,0))</f>
        <v>책임감 설계자형</v>
      </c>
      <c r="Y102" s="43" t="str">
        <f aca="false">IF(AJ102="","가장 높은 지표: "&amp;AP102,LEFT(AJ102,LEN(AJ102)-2))</f>
        <v>경기긴장도, 사회적 도움 활용, 경기 준비 능력, 자기 통제력</v>
      </c>
      <c r="Z102" s="43" t="str">
        <f aca="false">IF(MAX(AK102:AO102)=0,"심화: "&amp;IF(N102=MIN(G102,Q102,K102,N102,P102),"실수 후 회복력",IF(K102=MIN(G102,Q102,K102,N102,P102),"경기 준비 능력",IF(G102=MIN(G102,Q102,K102,N102,P102),"경기긴장도",IF(P102=MIN(G102,Q102,K102,N102,P102),"자기 통제력","사회적 도움 활용")))),IF(MAX(AK102:AO102)&gt;='판정 기준'!$B$8-'판정 기준'!$B$4,IF(AN102=MAX(AK102:AO102),"실수 후 회복력",IF(AM102=MAX(AK102:AO102),"경기 준비 능력",IF(AK102=MAX(AK102:AO102),"경기긴장도",IF(AO102=MAX(AK102:AO102),"자기 통제력","사회적 도움 활용")))),IF(AN102&gt;0,"실수 후 회복력",IF(AM102&gt;0,"경기 준비 능력",IF(AK102&gt;0,"경기긴장도",IF(AO102&gt;0,"자기 통제력","사회적 도움 활용"))))))</f>
        <v>실수 후 회복력</v>
      </c>
      <c r="AA102" s="43" t="str">
        <f aca="false">INDEX('포지션 정의'!$L$2:$L$9,MATCH(V102,'포지션 정의'!$D$2:$D$9,0))</f>
        <v>해리 케인 · 토니 크로스 · 필립 람</v>
      </c>
      <c r="AB102" s="24" t="n">
        <f aca="false">ROUND(100*(1-SQRT(((S102-'포지션 정의'!$N$2)^2+(T102-'포지션 정의'!$O$2)^2+(U102-'포지션 정의'!$P$2)^2)/3)/'판정 기준'!$B$7),0)</f>
        <v>76</v>
      </c>
      <c r="AC102" s="24" t="n">
        <f aca="false">ROUND(100*(1-SQRT(((S102-'포지션 정의'!$N$3)^2+(T102-'포지션 정의'!$O$3)^2+(U102-'포지션 정의'!$P$3)^2)/3)/'판정 기준'!$B$7),0)</f>
        <v>90</v>
      </c>
      <c r="AD102" s="24" t="n">
        <f aca="false">ROUND(100*(1-SQRT(((S102-'포지션 정의'!$N$4)^2+(T102-'포지션 정의'!$O$4)^2+(U102-'포지션 정의'!$P$4)^2)/3)/'판정 기준'!$B$7),0)</f>
        <v>79</v>
      </c>
      <c r="AE102" s="24" t="n">
        <f aca="false">ROUND(100*(1-SQRT(((S102-'포지션 정의'!$N$5)^2+(T102-'포지션 정의'!$O$5)^2+(U102-'포지션 정의'!$P$5)^2)/3)/'판정 기준'!$B$7),0)</f>
        <v>78</v>
      </c>
      <c r="AF102" s="24" t="n">
        <f aca="false">ROUND(100*(1-SQRT(((S102-'포지션 정의'!$N$6)^2+(T102-'포지션 정의'!$O$6)^2+(U102-'포지션 정의'!$P$6)^2)/3)/'판정 기준'!$B$7),0)</f>
        <v>69</v>
      </c>
      <c r="AG102" s="24" t="n">
        <f aca="false">ROUND(100*(1-SQRT(((S102-'포지션 정의'!$N$7)^2+(T102-'포지션 정의'!$O$7)^2+(U102-'포지션 정의'!$P$7)^2)/3)/'판정 기준'!$B$7),0)</f>
        <v>75</v>
      </c>
      <c r="AH102" s="24" t="n">
        <f aca="false">ROUND(100*(1-SQRT(((S102-'포지션 정의'!$N$8)^2+(T102-'포지션 정의'!$O$8)^2+(U102-'포지션 정의'!$P$8)^2)/3)/'판정 기준'!$B$7),0)</f>
        <v>70</v>
      </c>
      <c r="AI102" s="24" t="n">
        <f aca="false">ROUND(100*(1-SQRT(((S102-'포지션 정의'!$N$9)^2+(T102-'포지션 정의'!$O$9)^2+(U102-'포지션 정의'!$P$9)^2)/3)/'판정 기준'!$B$7),0)</f>
        <v>88</v>
      </c>
      <c r="AJ102" s="23" t="str">
        <f aca="false">IF(G102&gt;='판정 기준'!$B$8,"경기긴장도, ","")&amp;IF(Q102&gt;='판정 기준'!$B$8,"사회적 도움 활용, ","")&amp;IF(K102&gt;='판정 기준'!$B$8,"경기 준비 능력, ","")&amp;IF(N102&gt;='판정 기준'!$B$8,"실수 후 회복력, ","")&amp;IF(P102&gt;='판정 기준'!$B$8,"자기 통제력, ","")</f>
        <v>경기긴장도, 사회적 도움 활용, 경기 준비 능력, 자기 통제력, </v>
      </c>
      <c r="AK102" s="23" t="n">
        <f aca="false">IF(AND(G102&lt;'판정 기준'!$B$8,OR(AJ102&lt;&gt;"",AP102&lt;&gt;"경기긴장도")),G102,0)</f>
        <v>0</v>
      </c>
      <c r="AL102" s="23" t="n">
        <f aca="false">IF(AND(Q102&lt;'판정 기준'!$B$8,OR(AJ102&lt;&gt;"",AP102&lt;&gt;"사회적 도움 활용")),Q102,0)</f>
        <v>0</v>
      </c>
      <c r="AM102" s="23" t="n">
        <f aca="false">IF(AND(K102&lt;'판정 기준'!$B$8,OR(AJ102&lt;&gt;"",AP102&lt;&gt;"경기 준비 능력")),K102,0)</f>
        <v>0</v>
      </c>
      <c r="AN102" s="23" t="n">
        <f aca="false">IF(AND(N102&lt;'판정 기준'!$B$8,OR(AJ102&lt;&gt;"",AP102&lt;&gt;"실수 후 회복력")),N102,0)</f>
        <v>4</v>
      </c>
      <c r="AO102" s="23" t="n">
        <f aca="false">IF(AND(P102&lt;'판정 기준'!$B$8,OR(AJ102&lt;&gt;"",AP102&lt;&gt;"자기 통제력")),P102,0)</f>
        <v>0</v>
      </c>
      <c r="AP102" s="23" t="str">
        <f aca="false">IF(Q102=MAX(G102,Q102,K102,N102,P102),"사회적 도움 활용",IF(P102=MAX(G102,Q102,K102,N102,P102),"자기 통제력",IF(G102=MAX(G102,Q102,K102,N102,P102),"경기긴장도",IF(K102=MAX(G102,Q102,K102,N102,P102),"경기 준비 능력","실수 후 회복력"))))</f>
        <v>사회적 도움 활용</v>
      </c>
    </row>
    <row r="103" customFormat="false" ht="17.15" hidden="false" customHeight="false" outlineLevel="0" collapsed="false">
      <c r="A103" s="13" t="s">
        <v>317</v>
      </c>
      <c r="B103" s="13" t="s">
        <v>187</v>
      </c>
      <c r="C103" s="13" t="s">
        <v>312</v>
      </c>
      <c r="D103" s="14" t="n">
        <v>46163</v>
      </c>
      <c r="E103" s="41" t="s">
        <v>195</v>
      </c>
      <c r="F103" s="42" t="n">
        <v>5</v>
      </c>
      <c r="G103" s="42" t="n">
        <v>4.9</v>
      </c>
      <c r="H103" s="42" t="n">
        <v>5.2</v>
      </c>
      <c r="I103" s="42" t="n">
        <v>5.8</v>
      </c>
      <c r="J103" s="42" t="n">
        <v>4.3</v>
      </c>
      <c r="K103" s="42" t="n">
        <v>5</v>
      </c>
      <c r="L103" s="42" t="n">
        <v>5.3</v>
      </c>
      <c r="M103" s="42" t="n">
        <v>4.7</v>
      </c>
      <c r="N103" s="42" t="n">
        <v>5.5</v>
      </c>
      <c r="O103" s="42" t="n">
        <v>5.3</v>
      </c>
      <c r="P103" s="42" t="n">
        <v>4.5</v>
      </c>
      <c r="Q103" s="42" t="n">
        <v>5</v>
      </c>
      <c r="R103" s="42" t="n">
        <v>6</v>
      </c>
      <c r="S103" s="37" t="n">
        <f aca="false">AVERAGE(G103:J103)</f>
        <v>5.05</v>
      </c>
      <c r="T103" s="37" t="n">
        <f aca="false">AVERAGE(K103:M103)</f>
        <v>5</v>
      </c>
      <c r="U103" s="37" t="n">
        <f aca="false">AVERAGE(N103:O103)</f>
        <v>5.4</v>
      </c>
      <c r="V103" s="23" t="str">
        <f aca="false">IF(S103&gt;='판정 기준'!$B$3,"H","L")&amp;IF(T103&gt;='판정 기준'!$B$3,"H","L")&amp;IF(U103&gt;='판정 기준'!$B$3,"H","L")</f>
        <v>HHH</v>
      </c>
      <c r="W103" s="36" t="str">
        <f aca="false">INDEX('포지션 정의'!$A$2:$A$9,MATCH(V103,'포지션 정의'!$D$2:$D$9,0))</f>
        <v>H</v>
      </c>
      <c r="X103" s="36" t="str">
        <f aca="false">INDEX('포지션 정의'!$B$2:$B$9,MATCH(V103,'포지션 정의'!$D$2:$D$9,0))</f>
        <v>올라운드 밸런스형</v>
      </c>
      <c r="Y103" s="43" t="str">
        <f aca="false">IF(AJ103="","가장 높은 지표: "&amp;AP103,LEFT(AJ103,LEN(AJ103)-2))</f>
        <v>경기긴장도, 사회적 도움 활용, 경기 준비 능력, 실수 후 회복력</v>
      </c>
      <c r="Z103" s="43" t="str">
        <f aca="false">IF(MAX(AK103:AO103)=0,"심화: "&amp;IF(N103=MIN(G103,Q103,K103,N103,P103),"실수 후 회복력",IF(K103=MIN(G103,Q103,K103,N103,P103),"경기 준비 능력",IF(G103=MIN(G103,Q103,K103,N103,P103),"경기긴장도",IF(P103=MIN(G103,Q103,K103,N103,P103),"자기 통제력","사회적 도움 활용")))),IF(MAX(AK103:AO103)&gt;='판정 기준'!$B$8-'판정 기준'!$B$4,IF(AN103=MAX(AK103:AO103),"실수 후 회복력",IF(AM103=MAX(AK103:AO103),"경기 준비 능력",IF(AK103=MAX(AK103:AO103),"경기긴장도",IF(AO103=MAX(AK103:AO103),"자기 통제력","사회적 도움 활용")))),IF(AN103&gt;0,"실수 후 회복력",IF(AM103&gt;0,"경기 준비 능력",IF(AK103&gt;0,"경기긴장도",IF(AO103&gt;0,"자기 통제력","사회적 도움 활용"))))))</f>
        <v>자기 통제력</v>
      </c>
      <c r="AA103" s="43" t="str">
        <f aca="false">INDEX('포지션 정의'!$L$2:$L$9,MATCH(V103,'포지션 정의'!$D$2:$D$9,0))</f>
        <v>크리스티아누 호날두 · 루카 모드리치 · 버질 반 다이크</v>
      </c>
      <c r="AB103" s="24" t="n">
        <f aca="false">ROUND(100*(1-SQRT(((S103-'포지션 정의'!$N$2)^2+(T103-'포지션 정의'!$O$2)^2+(U103-'포지션 정의'!$P$2)^2)/3)/'판정 기준'!$B$7),0)</f>
        <v>76</v>
      </c>
      <c r="AC103" s="24" t="n">
        <f aca="false">ROUND(100*(1-SQRT(((S103-'포지션 정의'!$N$3)^2+(T103-'포지션 정의'!$O$3)^2+(U103-'포지션 정의'!$P$3)^2)/3)/'판정 기준'!$B$7),0)</f>
        <v>81</v>
      </c>
      <c r="AD103" s="24" t="n">
        <f aca="false">ROUND(100*(1-SQRT(((S103-'포지션 정의'!$N$4)^2+(T103-'포지션 정의'!$O$4)^2+(U103-'포지션 정의'!$P$4)^2)/3)/'판정 기준'!$B$7),0)</f>
        <v>77</v>
      </c>
      <c r="AE103" s="24" t="n">
        <f aca="false">ROUND(100*(1-SQRT(((S103-'포지션 정의'!$N$5)^2+(T103-'포지션 정의'!$O$5)^2+(U103-'포지션 정의'!$P$5)^2)/3)/'판정 기준'!$B$7),0)</f>
        <v>86</v>
      </c>
      <c r="AF103" s="24" t="n">
        <f aca="false">ROUND(100*(1-SQRT(((S103-'포지션 정의'!$N$6)^2+(T103-'포지션 정의'!$O$6)^2+(U103-'포지션 정의'!$P$6)^2)/3)/'판정 기준'!$B$7),0)</f>
        <v>80</v>
      </c>
      <c r="AG103" s="24" t="n">
        <f aca="false">ROUND(100*(1-SQRT(((S103-'포지션 정의'!$N$7)^2+(T103-'포지션 정의'!$O$7)^2+(U103-'포지션 정의'!$P$7)^2)/3)/'판정 기준'!$B$7),0)</f>
        <v>85</v>
      </c>
      <c r="AH103" s="24" t="n">
        <f aca="false">ROUND(100*(1-SQRT(((S103-'포지션 정의'!$N$8)^2+(T103-'포지션 정의'!$O$8)^2+(U103-'포지션 정의'!$P$8)^2)/3)/'판정 기준'!$B$7),0)</f>
        <v>73</v>
      </c>
      <c r="AI103" s="24" t="n">
        <f aca="false">ROUND(100*(1-SQRT(((S103-'포지션 정의'!$N$9)^2+(T103-'포지션 정의'!$O$9)^2+(U103-'포지션 정의'!$P$9)^2)/3)/'판정 기준'!$B$7),0)</f>
        <v>96</v>
      </c>
      <c r="AJ103" s="23" t="str">
        <f aca="false">IF(G103&gt;='판정 기준'!$B$8,"경기긴장도, ","")&amp;IF(Q103&gt;='판정 기준'!$B$8,"사회적 도움 활용, ","")&amp;IF(K103&gt;='판정 기준'!$B$8,"경기 준비 능력, ","")&amp;IF(N103&gt;='판정 기준'!$B$8,"실수 후 회복력, ","")&amp;IF(P103&gt;='판정 기준'!$B$8,"자기 통제력, ","")</f>
        <v>경기긴장도, 사회적 도움 활용, 경기 준비 능력, 실수 후 회복력, </v>
      </c>
      <c r="AK103" s="23" t="n">
        <f aca="false">IF(AND(G103&lt;'판정 기준'!$B$8,OR(AJ103&lt;&gt;"",AP103&lt;&gt;"경기긴장도")),G103,0)</f>
        <v>0</v>
      </c>
      <c r="AL103" s="23" t="n">
        <f aca="false">IF(AND(Q103&lt;'판정 기준'!$B$8,OR(AJ103&lt;&gt;"",AP103&lt;&gt;"사회적 도움 활용")),Q103,0)</f>
        <v>0</v>
      </c>
      <c r="AM103" s="23" t="n">
        <f aca="false">IF(AND(K103&lt;'판정 기준'!$B$8,OR(AJ103&lt;&gt;"",AP103&lt;&gt;"경기 준비 능력")),K103,0)</f>
        <v>0</v>
      </c>
      <c r="AN103" s="23" t="n">
        <f aca="false">IF(AND(N103&lt;'판정 기준'!$B$8,OR(AJ103&lt;&gt;"",AP103&lt;&gt;"실수 후 회복력")),N103,0)</f>
        <v>0</v>
      </c>
      <c r="AO103" s="23" t="n">
        <f aca="false">IF(AND(P103&lt;'판정 기준'!$B$8,OR(AJ103&lt;&gt;"",AP103&lt;&gt;"자기 통제력")),P103,0)</f>
        <v>4.5</v>
      </c>
      <c r="AP103" s="23" t="str">
        <f aca="false">IF(Q103=MAX(G103,Q103,K103,N103,P103),"사회적 도움 활용",IF(P103=MAX(G103,Q103,K103,N103,P103),"자기 통제력",IF(G103=MAX(G103,Q103,K103,N103,P103),"경기긴장도",IF(K103=MAX(G103,Q103,K103,N103,P103),"경기 준비 능력","실수 후 회복력"))))</f>
        <v>실수 후 회복력</v>
      </c>
    </row>
    <row r="104" customFormat="false" ht="17.15" hidden="false" customHeight="false" outlineLevel="0" collapsed="false">
      <c r="A104" s="13" t="s">
        <v>318</v>
      </c>
      <c r="B104" s="13" t="s">
        <v>187</v>
      </c>
      <c r="C104" s="13" t="s">
        <v>312</v>
      </c>
      <c r="D104" s="14" t="n">
        <v>46163</v>
      </c>
      <c r="E104" s="41" t="s">
        <v>198</v>
      </c>
      <c r="F104" s="42" t="n">
        <v>5.5</v>
      </c>
      <c r="G104" s="42" t="n">
        <v>5.4</v>
      </c>
      <c r="H104" s="42" t="n">
        <v>5.7</v>
      </c>
      <c r="I104" s="42" t="n">
        <v>5.4</v>
      </c>
      <c r="J104" s="42" t="n">
        <v>5.2</v>
      </c>
      <c r="K104" s="42" t="n">
        <v>5.3</v>
      </c>
      <c r="L104" s="42" t="n">
        <v>5.3</v>
      </c>
      <c r="M104" s="42" t="n">
        <v>5.3</v>
      </c>
      <c r="N104" s="42" t="n">
        <v>5.6</v>
      </c>
      <c r="O104" s="42" t="n">
        <v>6</v>
      </c>
      <c r="P104" s="42" t="n">
        <v>5.7</v>
      </c>
      <c r="Q104" s="42" t="n">
        <v>5</v>
      </c>
      <c r="R104" s="42" t="n">
        <v>5</v>
      </c>
      <c r="S104" s="37" t="n">
        <f aca="false">AVERAGE(G104:J104)</f>
        <v>5.425</v>
      </c>
      <c r="T104" s="37" t="n">
        <f aca="false">AVERAGE(K104:M104)</f>
        <v>5.3</v>
      </c>
      <c r="U104" s="37" t="n">
        <f aca="false">AVERAGE(N104:O104)</f>
        <v>5.8</v>
      </c>
      <c r="V104" s="23" t="str">
        <f aca="false">IF(S104&gt;='판정 기준'!$B$3,"H","L")&amp;IF(T104&gt;='판정 기준'!$B$3,"H","L")&amp;IF(U104&gt;='판정 기준'!$B$3,"H","L")</f>
        <v>HHH</v>
      </c>
      <c r="W104" s="36" t="str">
        <f aca="false">INDEX('포지션 정의'!$A$2:$A$9,MATCH(V104,'포지션 정의'!$D$2:$D$9,0))</f>
        <v>H</v>
      </c>
      <c r="X104" s="36" t="str">
        <f aca="false">INDEX('포지션 정의'!$B$2:$B$9,MATCH(V104,'포지션 정의'!$D$2:$D$9,0))</f>
        <v>올라운드 밸런스형</v>
      </c>
      <c r="Y104" s="43" t="str">
        <f aca="false">IF(AJ104="","가장 높은 지표: "&amp;AP104,LEFT(AJ104,LEN(AJ104)-2))</f>
        <v>경기긴장도, 사회적 도움 활용, 경기 준비 능력, 실수 후 회복력, 자기 통제력</v>
      </c>
      <c r="Z104" s="43" t="str">
        <f aca="false">IF(MAX(AK104:AO104)=0,"심화: "&amp;IF(N104=MIN(G104,Q104,K104,N104,P104),"실수 후 회복력",IF(K104=MIN(G104,Q104,K104,N104,P104),"경기 준비 능력",IF(G104=MIN(G104,Q104,K104,N104,P104),"경기긴장도",IF(P104=MIN(G104,Q104,K104,N104,P104),"자기 통제력","사회적 도움 활용")))),IF(MAX(AK104:AO104)&gt;='판정 기준'!$B$8-'판정 기준'!$B$4,IF(AN104=MAX(AK104:AO104),"실수 후 회복력",IF(AM104=MAX(AK104:AO104),"경기 준비 능력",IF(AK104=MAX(AK104:AO104),"경기긴장도",IF(AO104=MAX(AK104:AO104),"자기 통제력","사회적 도움 활용")))),IF(AN104&gt;0,"실수 후 회복력",IF(AM104&gt;0,"경기 준비 능력",IF(AK104&gt;0,"경기긴장도",IF(AO104&gt;0,"자기 통제력","사회적 도움 활용"))))))</f>
        <v>심화: 사회적 도움 활용</v>
      </c>
      <c r="AA104" s="43" t="str">
        <f aca="false">INDEX('포지션 정의'!$L$2:$L$9,MATCH(V104,'포지션 정의'!$D$2:$D$9,0))</f>
        <v>크리스티아누 호날두 · 루카 모드리치 · 버질 반 다이크</v>
      </c>
      <c r="AB104" s="24" t="n">
        <f aca="false">ROUND(100*(1-SQRT(((S104-'포지션 정의'!$N$2)^2+(T104-'포지션 정의'!$O$2)^2+(U104-'포지션 정의'!$P$2)^2)/3)/'판정 기준'!$B$7),0)</f>
        <v>70</v>
      </c>
      <c r="AC104" s="24" t="n">
        <f aca="false">ROUND(100*(1-SQRT(((S104-'포지션 정의'!$N$3)^2+(T104-'포지션 정의'!$O$3)^2+(U104-'포지션 정의'!$P$3)^2)/3)/'판정 기준'!$B$7),0)</f>
        <v>77</v>
      </c>
      <c r="AD104" s="24" t="n">
        <f aca="false">ROUND(100*(1-SQRT(((S104-'포지션 정의'!$N$4)^2+(T104-'포지션 정의'!$O$4)^2+(U104-'포지션 정의'!$P$4)^2)/3)/'판정 기준'!$B$7),0)</f>
        <v>71</v>
      </c>
      <c r="AE104" s="24" t="n">
        <f aca="false">ROUND(100*(1-SQRT(((S104-'포지션 정의'!$N$5)^2+(T104-'포지션 정의'!$O$5)^2+(U104-'포지션 정의'!$P$5)^2)/3)/'판정 기준'!$B$7),0)</f>
        <v>81</v>
      </c>
      <c r="AF104" s="24" t="n">
        <f aca="false">ROUND(100*(1-SQRT(((S104-'포지션 정의'!$N$6)^2+(T104-'포지션 정의'!$O$6)^2+(U104-'포지션 정의'!$P$6)^2)/3)/'판정 기준'!$B$7),0)</f>
        <v>74</v>
      </c>
      <c r="AG104" s="24" t="n">
        <f aca="false">ROUND(100*(1-SQRT(((S104-'포지션 정의'!$N$7)^2+(T104-'포지션 정의'!$O$7)^2+(U104-'포지션 정의'!$P$7)^2)/3)/'판정 기준'!$B$7),0)</f>
        <v>80</v>
      </c>
      <c r="AH104" s="24" t="n">
        <f aca="false">ROUND(100*(1-SQRT(((S104-'포지션 정의'!$N$8)^2+(T104-'포지션 정의'!$O$8)^2+(U104-'포지션 정의'!$P$8)^2)/3)/'판정 기준'!$B$7),0)</f>
        <v>66</v>
      </c>
      <c r="AI104" s="24" t="n">
        <f aca="false">ROUND(100*(1-SQRT(((S104-'포지션 정의'!$N$9)^2+(T104-'포지션 정의'!$O$9)^2+(U104-'포지션 정의'!$P$9)^2)/3)/'판정 기준'!$B$7),0)</f>
        <v>93</v>
      </c>
      <c r="AJ104" s="23" t="str">
        <f aca="false">IF(G104&gt;='판정 기준'!$B$8,"경기긴장도, ","")&amp;IF(Q104&gt;='판정 기준'!$B$8,"사회적 도움 활용, ","")&amp;IF(K104&gt;='판정 기준'!$B$8,"경기 준비 능력, ","")&amp;IF(N104&gt;='판정 기준'!$B$8,"실수 후 회복력, ","")&amp;IF(P104&gt;='판정 기준'!$B$8,"자기 통제력, ","")</f>
        <v>경기긴장도, 사회적 도움 활용, 경기 준비 능력, 실수 후 회복력, 자기 통제력, </v>
      </c>
      <c r="AK104" s="23" t="n">
        <f aca="false">IF(AND(G104&lt;'판정 기준'!$B$8,OR(AJ104&lt;&gt;"",AP104&lt;&gt;"경기긴장도")),G104,0)</f>
        <v>0</v>
      </c>
      <c r="AL104" s="23" t="n">
        <f aca="false">IF(AND(Q104&lt;'판정 기준'!$B$8,OR(AJ104&lt;&gt;"",AP104&lt;&gt;"사회적 도움 활용")),Q104,0)</f>
        <v>0</v>
      </c>
      <c r="AM104" s="23" t="n">
        <f aca="false">IF(AND(K104&lt;'판정 기준'!$B$8,OR(AJ104&lt;&gt;"",AP104&lt;&gt;"경기 준비 능력")),K104,0)</f>
        <v>0</v>
      </c>
      <c r="AN104" s="23" t="n">
        <f aca="false">IF(AND(N104&lt;'판정 기준'!$B$8,OR(AJ104&lt;&gt;"",AP104&lt;&gt;"실수 후 회복력")),N104,0)</f>
        <v>0</v>
      </c>
      <c r="AO104" s="23" t="n">
        <f aca="false">IF(AND(P104&lt;'판정 기준'!$B$8,OR(AJ104&lt;&gt;"",AP104&lt;&gt;"자기 통제력")),P104,0)</f>
        <v>0</v>
      </c>
      <c r="AP104" s="23" t="str">
        <f aca="false">IF(Q104=MAX(G104,Q104,K104,N104,P104),"사회적 도움 활용",IF(P104=MAX(G104,Q104,K104,N104,P104),"자기 통제력",IF(G104=MAX(G104,Q104,K104,N104,P104),"경기긴장도",IF(K104=MAX(G104,Q104,K104,N104,P104),"경기 준비 능력","실수 후 회복력"))))</f>
        <v>자기 통제력</v>
      </c>
    </row>
    <row r="105" customFormat="false" ht="17.15" hidden="false" customHeight="false" outlineLevel="0" collapsed="false">
      <c r="A105" s="13" t="s">
        <v>319</v>
      </c>
      <c r="B105" s="13" t="s">
        <v>187</v>
      </c>
      <c r="C105" s="13" t="s">
        <v>315</v>
      </c>
      <c r="D105" s="14" t="n">
        <v>46163</v>
      </c>
      <c r="E105" s="41" t="s">
        <v>193</v>
      </c>
      <c r="F105" s="42" t="n">
        <v>3.7</v>
      </c>
      <c r="G105" s="42" t="n">
        <v>3.9</v>
      </c>
      <c r="H105" s="42" t="n">
        <v>4.2</v>
      </c>
      <c r="I105" s="42" t="n">
        <v>4.2</v>
      </c>
      <c r="J105" s="42" t="n">
        <v>3.5</v>
      </c>
      <c r="K105" s="42" t="n">
        <v>3.8</v>
      </c>
      <c r="L105" s="42" t="n">
        <v>4.5</v>
      </c>
      <c r="M105" s="42" t="n">
        <v>3.3</v>
      </c>
      <c r="N105" s="42" t="n">
        <v>3.7</v>
      </c>
      <c r="O105" s="42" t="n">
        <v>4</v>
      </c>
      <c r="P105" s="42" t="n">
        <v>3.3</v>
      </c>
      <c r="Q105" s="42" t="n">
        <v>4.2</v>
      </c>
      <c r="R105" s="42" t="n">
        <v>5</v>
      </c>
      <c r="S105" s="37" t="n">
        <f aca="false">AVERAGE(G105:J105)</f>
        <v>3.95</v>
      </c>
      <c r="T105" s="37" t="n">
        <f aca="false">AVERAGE(K105:M105)</f>
        <v>3.86666666666667</v>
      </c>
      <c r="U105" s="37" t="n">
        <f aca="false">AVERAGE(N105:O105)</f>
        <v>3.85</v>
      </c>
      <c r="V105" s="23" t="str">
        <f aca="false">IF(S105&gt;='판정 기준'!$B$3,"H","L")&amp;IF(T105&gt;='판정 기준'!$B$3,"H","L")&amp;IF(U105&gt;='판정 기준'!$B$3,"H","L")</f>
        <v>LLL</v>
      </c>
      <c r="W105" s="36" t="str">
        <f aca="false">INDEX('포지션 정의'!$A$2:$A$9,MATCH(V105,'포지션 정의'!$D$2:$D$9,0))</f>
        <v>G</v>
      </c>
      <c r="X105" s="36" t="str">
        <f aca="false">INDEX('포지션 정의'!$B$2:$B$9,MATCH(V105,'포지션 정의'!$D$2:$D$9,0))</f>
        <v>스펀지 흡수형</v>
      </c>
      <c r="Y105" s="43" t="str">
        <f aca="false">IF(AJ105="","가장 높은 지표: "&amp;AP105,LEFT(AJ105,LEN(AJ105)-2))</f>
        <v>가장 높은 지표: 사회적 도움 활용</v>
      </c>
      <c r="Z105" s="43" t="str">
        <f aca="false">IF(MAX(AK105:AO105)=0,"심화: "&amp;IF(N105=MIN(G105,Q105,K105,N105,P105),"실수 후 회복력",IF(K105=MIN(G105,Q105,K105,N105,P105),"경기 준비 능력",IF(G105=MIN(G105,Q105,K105,N105,P105),"경기긴장도",IF(P105=MIN(G105,Q105,K105,N105,P105),"자기 통제력","사회적 도움 활용")))),IF(MAX(AK105:AO105)&gt;='판정 기준'!$B$8-'판정 기준'!$B$4,IF(AN105=MAX(AK105:AO105),"실수 후 회복력",IF(AM105=MAX(AK105:AO105),"경기 준비 능력",IF(AK105=MAX(AK105:AO105),"경기긴장도",IF(AO105=MAX(AK105:AO105),"자기 통제력","사회적 도움 활용")))),IF(AN105&gt;0,"실수 후 회복력",IF(AM105&gt;0,"경기 준비 능력",IF(AK105&gt;0,"경기긴장도",IF(AO105&gt;0,"자기 통제력","사회적 도움 활용"))))))</f>
        <v>실수 후 회복력</v>
      </c>
      <c r="AA105" s="43" t="str">
        <f aca="false">INDEX('포지션 정의'!$L$2:$L$9,MATCH(V105,'포지션 정의'!$D$2:$D$9,0))</f>
        <v>디디에 드로그바 · 앙투안 그리즈만 · 모하메드 살라</v>
      </c>
      <c r="AB105" s="24" t="n">
        <f aca="false">ROUND(100*(1-SQRT(((S105-'포지션 정의'!$N$2)^2+(T105-'포지션 정의'!$O$2)^2+(U105-'포지션 정의'!$P$2)^2)/3)/'판정 기준'!$B$7),0)</f>
        <v>84</v>
      </c>
      <c r="AC105" s="24" t="n">
        <f aca="false">ROUND(100*(1-SQRT(((S105-'포지션 정의'!$N$3)^2+(T105-'포지션 정의'!$O$3)^2+(U105-'포지션 정의'!$P$3)^2)/3)/'판정 기준'!$B$7),0)</f>
        <v>79</v>
      </c>
      <c r="AD105" s="24" t="n">
        <f aca="false">ROUND(100*(1-SQRT(((S105-'포지션 정의'!$N$4)^2+(T105-'포지션 정의'!$O$4)^2+(U105-'포지션 정의'!$P$4)^2)/3)/'판정 기준'!$B$7),0)</f>
        <v>86</v>
      </c>
      <c r="AE105" s="24" t="n">
        <f aca="false">ROUND(100*(1-SQRT(((S105-'포지션 정의'!$N$5)^2+(T105-'포지션 정의'!$O$5)^2+(U105-'포지션 정의'!$P$5)^2)/3)/'판정 기준'!$B$7),0)</f>
        <v>79</v>
      </c>
      <c r="AF105" s="24" t="n">
        <f aca="false">ROUND(100*(1-SQRT(((S105-'포지션 정의'!$N$6)^2+(T105-'포지션 정의'!$O$6)^2+(U105-'포지션 정의'!$P$6)^2)/3)/'판정 기준'!$B$7),0)</f>
        <v>84</v>
      </c>
      <c r="AG105" s="24" t="n">
        <f aca="false">ROUND(100*(1-SQRT(((S105-'포지션 정의'!$N$7)^2+(T105-'포지션 정의'!$O$7)^2+(U105-'포지션 정의'!$P$7)^2)/3)/'판정 기준'!$B$7),0)</f>
        <v>78</v>
      </c>
      <c r="AH105" s="24" t="n">
        <f aca="false">ROUND(100*(1-SQRT(((S105-'포지션 정의'!$N$8)^2+(T105-'포지션 정의'!$O$8)^2+(U105-'포지션 정의'!$P$8)^2)/3)/'판정 기준'!$B$7),0)</f>
        <v>98</v>
      </c>
      <c r="AI105" s="24" t="n">
        <f aca="false">ROUND(100*(1-SQRT(((S105-'포지션 정의'!$N$9)^2+(T105-'포지션 정의'!$O$9)^2+(U105-'포지션 정의'!$P$9)^2)/3)/'판정 기준'!$B$7),0)</f>
        <v>74</v>
      </c>
      <c r="AJ105" s="23" t="str">
        <f aca="false">IF(G105&gt;='판정 기준'!$B$8,"경기긴장도, ","")&amp;IF(Q105&gt;='판정 기준'!$B$8,"사회적 도움 활용, ","")&amp;IF(K105&gt;='판정 기준'!$B$8,"경기 준비 능력, ","")&amp;IF(N105&gt;='판정 기준'!$B$8,"실수 후 회복력, ","")&amp;IF(P105&gt;='판정 기준'!$B$8,"자기 통제력, ","")</f>
        <v/>
      </c>
      <c r="AK105" s="23" t="n">
        <f aca="false">IF(AND(G105&lt;'판정 기준'!$B$8,OR(AJ105&lt;&gt;"",AP105&lt;&gt;"경기긴장도")),G105,0)</f>
        <v>3.9</v>
      </c>
      <c r="AL105" s="23" t="n">
        <f aca="false">IF(AND(Q105&lt;'판정 기준'!$B$8,OR(AJ105&lt;&gt;"",AP105&lt;&gt;"사회적 도움 활용")),Q105,0)</f>
        <v>0</v>
      </c>
      <c r="AM105" s="23" t="n">
        <f aca="false">IF(AND(K105&lt;'판정 기준'!$B$8,OR(AJ105&lt;&gt;"",AP105&lt;&gt;"경기 준비 능력")),K105,0)</f>
        <v>3.8</v>
      </c>
      <c r="AN105" s="23" t="n">
        <f aca="false">IF(AND(N105&lt;'판정 기준'!$B$8,OR(AJ105&lt;&gt;"",AP105&lt;&gt;"실수 후 회복력")),N105,0)</f>
        <v>3.7</v>
      </c>
      <c r="AO105" s="23" t="n">
        <f aca="false">IF(AND(P105&lt;'판정 기준'!$B$8,OR(AJ105&lt;&gt;"",AP105&lt;&gt;"자기 통제력")),P105,0)</f>
        <v>3.3</v>
      </c>
      <c r="AP105" s="23" t="str">
        <f aca="false">IF(Q105=MAX(G105,Q105,K105,N105,P105),"사회적 도움 활용",IF(P105=MAX(G105,Q105,K105,N105,P105),"자기 통제력",IF(G105=MAX(G105,Q105,K105,N105,P105),"경기긴장도",IF(K105=MAX(G105,Q105,K105,N105,P105),"경기 준비 능력","실수 후 회복력"))))</f>
        <v>사회적 도움 활용</v>
      </c>
    </row>
    <row r="106" customFormat="false" ht="17.15" hidden="false" customHeight="false" outlineLevel="0" collapsed="false">
      <c r="A106" s="13" t="s">
        <v>320</v>
      </c>
      <c r="B106" s="13" t="s">
        <v>187</v>
      </c>
      <c r="C106" s="13" t="s">
        <v>315</v>
      </c>
      <c r="D106" s="14" t="n">
        <v>46163</v>
      </c>
      <c r="E106" s="41" t="s">
        <v>195</v>
      </c>
      <c r="F106" s="42" t="n">
        <v>4.8</v>
      </c>
      <c r="G106" s="42" t="n">
        <v>3.9</v>
      </c>
      <c r="H106" s="42" t="n">
        <v>4.3</v>
      </c>
      <c r="I106" s="42" t="n">
        <v>4.2</v>
      </c>
      <c r="J106" s="42" t="n">
        <v>4.7</v>
      </c>
      <c r="K106" s="42" t="n">
        <v>5.1</v>
      </c>
      <c r="L106" s="42" t="n">
        <v>4.8</v>
      </c>
      <c r="M106" s="42" t="n">
        <v>5.3</v>
      </c>
      <c r="N106" s="42" t="n">
        <v>5</v>
      </c>
      <c r="O106" s="42" t="n">
        <v>5</v>
      </c>
      <c r="P106" s="42" t="n">
        <v>5</v>
      </c>
      <c r="Q106" s="42" t="n">
        <v>5.6</v>
      </c>
      <c r="R106" s="42" t="n">
        <v>5</v>
      </c>
      <c r="S106" s="37" t="n">
        <f aca="false">AVERAGE(G106:J106)</f>
        <v>4.275</v>
      </c>
      <c r="T106" s="37" t="n">
        <f aca="false">AVERAGE(K106:M106)</f>
        <v>5.06666666666667</v>
      </c>
      <c r="U106" s="37" t="n">
        <f aca="false">AVERAGE(N106:O106)</f>
        <v>5</v>
      </c>
      <c r="V106" s="23" t="str">
        <f aca="false">IF(S106&gt;='판정 기준'!$B$3,"H","L")&amp;IF(T106&gt;='판정 기준'!$B$3,"H","L")&amp;IF(U106&gt;='판정 기준'!$B$3,"H","L")</f>
        <v>LHH</v>
      </c>
      <c r="W106" s="36" t="str">
        <f aca="false">INDEX('포지션 정의'!$A$2:$A$9,MATCH(V106,'포지션 정의'!$D$2:$D$9,0))</f>
        <v>F</v>
      </c>
      <c r="X106" s="36" t="str">
        <f aca="false">INDEX('포지션 정의'!$B$2:$B$9,MATCH(V106,'포지션 정의'!$D$2:$D$9,0))</f>
        <v>성실한 도전자형</v>
      </c>
      <c r="Y106" s="43" t="str">
        <f aca="false">IF(AJ106="","가장 높은 지표: "&amp;AP106,LEFT(AJ106,LEN(AJ106)-2))</f>
        <v>사회적 도움 활용, 경기 준비 능력, 실수 후 회복력, 자기 통제력</v>
      </c>
      <c r="Z106" s="43" t="str">
        <f aca="false">IF(MAX(AK106:AO106)=0,"심화: "&amp;IF(N106=MIN(G106,Q106,K106,N106,P106),"실수 후 회복력",IF(K106=MIN(G106,Q106,K106,N106,P106),"경기 준비 능력",IF(G106=MIN(G106,Q106,K106,N106,P106),"경기긴장도",IF(P106=MIN(G106,Q106,K106,N106,P106),"자기 통제력","사회적 도움 활용")))),IF(MAX(AK106:AO106)&gt;='판정 기준'!$B$8-'판정 기준'!$B$4,IF(AN106=MAX(AK106:AO106),"실수 후 회복력",IF(AM106=MAX(AK106:AO106),"경기 준비 능력",IF(AK106=MAX(AK106:AO106),"경기긴장도",IF(AO106=MAX(AK106:AO106),"자기 통제력","사회적 도움 활용")))),IF(AN106&gt;0,"실수 후 회복력",IF(AM106&gt;0,"경기 준비 능력",IF(AK106&gt;0,"경기긴장도",IF(AO106&gt;0,"자기 통제력","사회적 도움 활용"))))))</f>
        <v>경기긴장도</v>
      </c>
      <c r="AA106" s="43" t="str">
        <f aca="false">INDEX('포지션 정의'!$L$2:$L$9,MATCH(V106,'포지션 정의'!$D$2:$D$9,0))</f>
        <v>제이미 바디 · 은골로 캉테 · 박지성</v>
      </c>
      <c r="AB106" s="24" t="n">
        <f aca="false">ROUND(100*(1-SQRT(((S106-'포지션 정의'!$N$2)^2+(T106-'포지션 정의'!$O$2)^2+(U106-'포지션 정의'!$P$2)^2)/3)/'판정 기준'!$B$7),0)</f>
        <v>85</v>
      </c>
      <c r="AC106" s="24" t="n">
        <f aca="false">ROUND(100*(1-SQRT(((S106-'포지션 정의'!$N$3)^2+(T106-'포지션 정의'!$O$3)^2+(U106-'포지션 정의'!$P$3)^2)/3)/'판정 기준'!$B$7),0)</f>
        <v>82</v>
      </c>
      <c r="AD106" s="24" t="n">
        <f aca="false">ROUND(100*(1-SQRT(((S106-'포지션 정의'!$N$4)^2+(T106-'포지션 정의'!$O$4)^2+(U106-'포지션 정의'!$P$4)^2)/3)/'판정 기준'!$B$7),0)</f>
        <v>77</v>
      </c>
      <c r="AE106" s="24" t="n">
        <f aca="false">ROUND(100*(1-SQRT(((S106-'포지션 정의'!$N$5)^2+(T106-'포지션 정의'!$O$5)^2+(U106-'포지션 정의'!$P$5)^2)/3)/'판정 기준'!$B$7),0)</f>
        <v>82</v>
      </c>
      <c r="AF106" s="24" t="n">
        <f aca="false">ROUND(100*(1-SQRT(((S106-'포지션 정의'!$N$6)^2+(T106-'포지션 정의'!$O$6)^2+(U106-'포지션 정의'!$P$6)^2)/3)/'판정 기준'!$B$7),0)</f>
        <v>84</v>
      </c>
      <c r="AG106" s="24" t="n">
        <f aca="false">ROUND(100*(1-SQRT(((S106-'포지션 정의'!$N$7)^2+(T106-'포지션 정의'!$O$7)^2+(U106-'포지션 정의'!$P$7)^2)/3)/'판정 기준'!$B$7),0)</f>
        <v>94</v>
      </c>
      <c r="AH106" s="24" t="n">
        <f aca="false">ROUND(100*(1-SQRT(((S106-'포지션 정의'!$N$8)^2+(T106-'포지션 정의'!$O$8)^2+(U106-'포지션 정의'!$P$8)^2)/3)/'판정 기준'!$B$7),0)</f>
        <v>79</v>
      </c>
      <c r="AI106" s="24" t="n">
        <f aca="false">ROUND(100*(1-SQRT(((S106-'포지션 정의'!$N$9)^2+(T106-'포지션 정의'!$O$9)^2+(U106-'포지션 정의'!$P$9)^2)/3)/'판정 기준'!$B$7),0)</f>
        <v>89</v>
      </c>
      <c r="AJ106" s="23" t="str">
        <f aca="false">IF(G106&gt;='판정 기준'!$B$8,"경기긴장도, ","")&amp;IF(Q106&gt;='판정 기준'!$B$8,"사회적 도움 활용, ","")&amp;IF(K106&gt;='판정 기준'!$B$8,"경기 준비 능력, ","")&amp;IF(N106&gt;='판정 기준'!$B$8,"실수 후 회복력, ","")&amp;IF(P106&gt;='판정 기준'!$B$8,"자기 통제력, ","")</f>
        <v>사회적 도움 활용, 경기 준비 능력, 실수 후 회복력, 자기 통제력, </v>
      </c>
      <c r="AK106" s="23" t="n">
        <f aca="false">IF(AND(G106&lt;'판정 기준'!$B$8,OR(AJ106&lt;&gt;"",AP106&lt;&gt;"경기긴장도")),G106,0)</f>
        <v>3.9</v>
      </c>
      <c r="AL106" s="23" t="n">
        <f aca="false">IF(AND(Q106&lt;'판정 기준'!$B$8,OR(AJ106&lt;&gt;"",AP106&lt;&gt;"사회적 도움 활용")),Q106,0)</f>
        <v>0</v>
      </c>
      <c r="AM106" s="23" t="n">
        <f aca="false">IF(AND(K106&lt;'판정 기준'!$B$8,OR(AJ106&lt;&gt;"",AP106&lt;&gt;"경기 준비 능력")),K106,0)</f>
        <v>0</v>
      </c>
      <c r="AN106" s="23" t="n">
        <f aca="false">IF(AND(N106&lt;'판정 기준'!$B$8,OR(AJ106&lt;&gt;"",AP106&lt;&gt;"실수 후 회복력")),N106,0)</f>
        <v>0</v>
      </c>
      <c r="AO106" s="23" t="n">
        <f aca="false">IF(AND(P106&lt;'판정 기준'!$B$8,OR(AJ106&lt;&gt;"",AP106&lt;&gt;"자기 통제력")),P106,0)</f>
        <v>0</v>
      </c>
      <c r="AP106" s="23" t="str">
        <f aca="false">IF(Q106=MAX(G106,Q106,K106,N106,P106),"사회적 도움 활용",IF(P106=MAX(G106,Q106,K106,N106,P106),"자기 통제력",IF(G106=MAX(G106,Q106,K106,N106,P106),"경기긴장도",IF(K106=MAX(G106,Q106,K106,N106,P106),"경기 준비 능력","실수 후 회복력"))))</f>
        <v>사회적 도움 활용</v>
      </c>
    </row>
    <row r="107" customFormat="false" ht="17.15" hidden="false" customHeight="false" outlineLevel="0" collapsed="false">
      <c r="A107" s="13" t="s">
        <v>321</v>
      </c>
      <c r="B107" s="13" t="s">
        <v>187</v>
      </c>
      <c r="C107" s="13" t="s">
        <v>312</v>
      </c>
      <c r="D107" s="14" t="n">
        <v>46162</v>
      </c>
      <c r="E107" s="41" t="s">
        <v>195</v>
      </c>
      <c r="F107" s="42" t="n">
        <v>2.9</v>
      </c>
      <c r="G107" s="42" t="n">
        <v>2.3</v>
      </c>
      <c r="H107" s="42" t="n">
        <v>1.8</v>
      </c>
      <c r="I107" s="42" t="n">
        <v>2.2</v>
      </c>
      <c r="J107" s="42" t="n">
        <v>2.8</v>
      </c>
      <c r="K107" s="42" t="n">
        <v>3.6</v>
      </c>
      <c r="L107" s="42" t="n">
        <v>3.2</v>
      </c>
      <c r="M107" s="42" t="n">
        <v>4</v>
      </c>
      <c r="N107" s="42" t="n">
        <v>2.6</v>
      </c>
      <c r="O107" s="42" t="n">
        <v>2.3</v>
      </c>
      <c r="P107" s="42" t="n">
        <v>3.2</v>
      </c>
      <c r="Q107" s="42" t="n">
        <v>3</v>
      </c>
      <c r="R107" s="42" t="n">
        <v>5.3</v>
      </c>
      <c r="S107" s="37" t="n">
        <f aca="false">AVERAGE(G107:J107)</f>
        <v>2.275</v>
      </c>
      <c r="T107" s="37" t="n">
        <f aca="false">AVERAGE(K107:M107)</f>
        <v>3.6</v>
      </c>
      <c r="U107" s="37" t="n">
        <f aca="false">AVERAGE(N107:O107)</f>
        <v>2.45</v>
      </c>
      <c r="V107" s="23" t="str">
        <f aca="false">IF(S107&gt;='판정 기준'!$B$3,"H","L")&amp;IF(T107&gt;='판정 기준'!$B$3,"H","L")&amp;IF(U107&gt;='판정 기준'!$B$3,"H","L")</f>
        <v>LLL</v>
      </c>
      <c r="W107" s="36" t="str">
        <f aca="false">INDEX('포지션 정의'!$A$2:$A$9,MATCH(V107,'포지션 정의'!$D$2:$D$9,0))</f>
        <v>G</v>
      </c>
      <c r="X107" s="36" t="str">
        <f aca="false">INDEX('포지션 정의'!$B$2:$B$9,MATCH(V107,'포지션 정의'!$D$2:$D$9,0))</f>
        <v>스펀지 흡수형</v>
      </c>
      <c r="Y107" s="43" t="str">
        <f aca="false">IF(AJ107="","가장 높은 지표: "&amp;AP107,LEFT(AJ107,LEN(AJ107)-2))</f>
        <v>가장 높은 지표: 경기 준비 능력</v>
      </c>
      <c r="Z107" s="43" t="str">
        <f aca="false">IF(MAX(AK107:AO107)=0,"심화: "&amp;IF(N107=MIN(G107,Q107,K107,N107,P107),"실수 후 회복력",IF(K107=MIN(G107,Q107,K107,N107,P107),"경기 준비 능력",IF(G107=MIN(G107,Q107,K107,N107,P107),"경기긴장도",IF(P107=MIN(G107,Q107,K107,N107,P107),"자기 통제력","사회적 도움 활용")))),IF(MAX(AK107:AO107)&gt;='판정 기준'!$B$8-'판정 기준'!$B$4,IF(AN107=MAX(AK107:AO107),"실수 후 회복력",IF(AM107=MAX(AK107:AO107),"경기 준비 능력",IF(AK107=MAX(AK107:AO107),"경기긴장도",IF(AO107=MAX(AK107:AO107),"자기 통제력","사회적 도움 활용")))),IF(AN107&gt;0,"실수 후 회복력",IF(AM107&gt;0,"경기 준비 능력",IF(AK107&gt;0,"경기긴장도",IF(AO107&gt;0,"자기 통제력","사회적 도움 활용"))))))</f>
        <v>실수 후 회복력</v>
      </c>
      <c r="AA107" s="43" t="str">
        <f aca="false">INDEX('포지션 정의'!$L$2:$L$9,MATCH(V107,'포지션 정의'!$D$2:$D$9,0))</f>
        <v>디디에 드로그바 · 앙투안 그리즈만 · 모하메드 살라</v>
      </c>
      <c r="AB107" s="24" t="n">
        <f aca="false">ROUND(100*(1-SQRT(((S107-'포지션 정의'!$N$2)^2+(T107-'포지션 정의'!$O$2)^2+(U107-'포지션 정의'!$P$2)^2)/3)/'판정 기준'!$B$7),0)</f>
        <v>70</v>
      </c>
      <c r="AC107" s="24" t="n">
        <f aca="false">ROUND(100*(1-SQRT(((S107-'포지션 정의'!$N$3)^2+(T107-'포지션 정의'!$O$3)^2+(U107-'포지션 정의'!$P$3)^2)/3)/'판정 기준'!$B$7),0)</f>
        <v>58</v>
      </c>
      <c r="AD107" s="24" t="n">
        <f aca="false">ROUND(100*(1-SQRT(((S107-'포지션 정의'!$N$4)^2+(T107-'포지션 정의'!$O$4)^2+(U107-'포지션 정의'!$P$4)^2)/3)/'판정 기준'!$B$7),0)</f>
        <v>63</v>
      </c>
      <c r="AE107" s="24" t="n">
        <f aca="false">ROUND(100*(1-SQRT(((S107-'포지션 정의'!$N$5)^2+(T107-'포지션 정의'!$O$5)^2+(U107-'포지션 정의'!$P$5)^2)/3)/'판정 기준'!$B$7),0)</f>
        <v>54</v>
      </c>
      <c r="AF107" s="24" t="n">
        <f aca="false">ROUND(100*(1-SQRT(((S107-'포지션 정의'!$N$6)^2+(T107-'포지션 정의'!$O$6)^2+(U107-'포지션 정의'!$P$6)^2)/3)/'판정 기준'!$B$7),0)</f>
        <v>64</v>
      </c>
      <c r="AG107" s="24" t="n">
        <f aca="false">ROUND(100*(1-SQRT(((S107-'포지션 정의'!$N$7)^2+(T107-'포지션 정의'!$O$7)^2+(U107-'포지션 정의'!$P$7)^2)/3)/'판정 기준'!$B$7),0)</f>
        <v>59</v>
      </c>
      <c r="AH107" s="24" t="n">
        <f aca="false">ROUND(100*(1-SQRT(((S107-'포지션 정의'!$N$8)^2+(T107-'포지션 정의'!$O$8)^2+(U107-'포지션 정의'!$P$8)^2)/3)/'판정 기준'!$B$7),0)</f>
        <v>76</v>
      </c>
      <c r="AI107" s="24" t="n">
        <f aca="false">ROUND(100*(1-SQRT(((S107-'포지션 정의'!$N$9)^2+(T107-'포지션 정의'!$O$9)^2+(U107-'포지션 정의'!$P$9)^2)/3)/'판정 기준'!$B$7),0)</f>
        <v>50</v>
      </c>
      <c r="AJ107" s="23" t="str">
        <f aca="false">IF(G107&gt;='판정 기준'!$B$8,"경기긴장도, ","")&amp;IF(Q107&gt;='판정 기준'!$B$8,"사회적 도움 활용, ","")&amp;IF(K107&gt;='판정 기준'!$B$8,"경기 준비 능력, ","")&amp;IF(N107&gt;='판정 기준'!$B$8,"실수 후 회복력, ","")&amp;IF(P107&gt;='판정 기준'!$B$8,"자기 통제력, ","")</f>
        <v/>
      </c>
      <c r="AK107" s="23" t="n">
        <f aca="false">IF(AND(G107&lt;'판정 기준'!$B$8,OR(AJ107&lt;&gt;"",AP107&lt;&gt;"경기긴장도")),G107,0)</f>
        <v>2.3</v>
      </c>
      <c r="AL107" s="23" t="n">
        <f aca="false">IF(AND(Q107&lt;'판정 기준'!$B$8,OR(AJ107&lt;&gt;"",AP107&lt;&gt;"사회적 도움 활용")),Q107,0)</f>
        <v>3</v>
      </c>
      <c r="AM107" s="23" t="n">
        <f aca="false">IF(AND(K107&lt;'판정 기준'!$B$8,OR(AJ107&lt;&gt;"",AP107&lt;&gt;"경기 준비 능력")),K107,0)</f>
        <v>0</v>
      </c>
      <c r="AN107" s="23" t="n">
        <f aca="false">IF(AND(N107&lt;'판정 기준'!$B$8,OR(AJ107&lt;&gt;"",AP107&lt;&gt;"실수 후 회복력")),N107,0)</f>
        <v>2.6</v>
      </c>
      <c r="AO107" s="23" t="n">
        <f aca="false">IF(AND(P107&lt;'판정 기준'!$B$8,OR(AJ107&lt;&gt;"",AP107&lt;&gt;"자기 통제력")),P107,0)</f>
        <v>3.2</v>
      </c>
      <c r="AP107" s="23" t="str">
        <f aca="false">IF(Q107=MAX(G107,Q107,K107,N107,P107),"사회적 도움 활용",IF(P107=MAX(G107,Q107,K107,N107,P107),"자기 통제력",IF(G107=MAX(G107,Q107,K107,N107,P107),"경기긴장도",IF(K107=MAX(G107,Q107,K107,N107,P107),"경기 준비 능력","실수 후 회복력"))))</f>
        <v>경기 준비 능력</v>
      </c>
    </row>
    <row r="108" customFormat="false" ht="17.15" hidden="false" customHeight="false" outlineLevel="0" collapsed="false">
      <c r="A108" s="13" t="s">
        <v>322</v>
      </c>
      <c r="B108" s="13" t="s">
        <v>187</v>
      </c>
      <c r="C108" s="13" t="s">
        <v>312</v>
      </c>
      <c r="D108" s="14" t="n">
        <v>46162</v>
      </c>
      <c r="E108" s="41" t="s">
        <v>195</v>
      </c>
      <c r="F108" s="42" t="n">
        <v>4.6</v>
      </c>
      <c r="G108" s="42" t="n">
        <v>4.7</v>
      </c>
      <c r="H108" s="42" t="n">
        <v>4.5</v>
      </c>
      <c r="I108" s="42" t="n">
        <v>5.4</v>
      </c>
      <c r="J108" s="42" t="n">
        <v>4</v>
      </c>
      <c r="K108" s="42" t="n">
        <v>4.1</v>
      </c>
      <c r="L108" s="42" t="n">
        <v>4.2</v>
      </c>
      <c r="M108" s="42" t="n">
        <v>4</v>
      </c>
      <c r="N108" s="42" t="n">
        <v>5</v>
      </c>
      <c r="O108" s="42" t="n">
        <v>5.2</v>
      </c>
      <c r="P108" s="42" t="n">
        <v>5.2</v>
      </c>
      <c r="Q108" s="42" t="n">
        <v>5.2</v>
      </c>
      <c r="R108" s="42" t="n">
        <v>5</v>
      </c>
      <c r="S108" s="37" t="n">
        <f aca="false">AVERAGE(G108:J108)</f>
        <v>4.65</v>
      </c>
      <c r="T108" s="37" t="n">
        <f aca="false">AVERAGE(K108:M108)</f>
        <v>4.1</v>
      </c>
      <c r="U108" s="37" t="n">
        <f aca="false">AVERAGE(N108:O108)</f>
        <v>5.1</v>
      </c>
      <c r="V108" s="23" t="str">
        <f aca="false">IF(S108&gt;='판정 기준'!$B$3,"H","L")&amp;IF(T108&gt;='판정 기준'!$B$3,"H","L")&amp;IF(U108&gt;='판정 기준'!$B$3,"H","L")</f>
        <v>HLH</v>
      </c>
      <c r="W108" s="36" t="str">
        <f aca="false">INDEX('포지션 정의'!$A$2:$A$9,MATCH(V108,'포지션 정의'!$D$2:$D$9,0))</f>
        <v>D</v>
      </c>
      <c r="X108" s="36" t="str">
        <f aca="false">INDEX('포지션 정의'!$B$2:$B$9,MATCH(V108,'포지션 정의'!$D$2:$D$9,0))</f>
        <v>실전 승부사형</v>
      </c>
      <c r="Y108" s="43" t="str">
        <f aca="false">IF(AJ108="","가장 높은 지표: "&amp;AP108,LEFT(AJ108,LEN(AJ108)-2))</f>
        <v>사회적 도움 활용, 실수 후 회복력, 자기 통제력</v>
      </c>
      <c r="Z108" s="43" t="str">
        <f aca="false">IF(MAX(AK108:AO108)=0,"심화: "&amp;IF(N108=MIN(G108,Q108,K108,N108,P108),"실수 후 회복력",IF(K108=MIN(G108,Q108,K108,N108,P108),"경기 준비 능력",IF(G108=MIN(G108,Q108,K108,N108,P108),"경기긴장도",IF(P108=MIN(G108,Q108,K108,N108,P108),"자기 통제력","사회적 도움 활용")))),IF(MAX(AK108:AO108)&gt;='판정 기준'!$B$8-'판정 기준'!$B$4,IF(AN108=MAX(AK108:AO108),"실수 후 회복력",IF(AM108=MAX(AK108:AO108),"경기 준비 능력",IF(AK108=MAX(AK108:AO108),"경기긴장도",IF(AO108=MAX(AK108:AO108),"자기 통제력","사회적 도움 활용")))),IF(AN108&gt;0,"실수 후 회복력",IF(AM108&gt;0,"경기 준비 능력",IF(AK108&gt;0,"경기긴장도",IF(AO108&gt;0,"자기 통제력","사회적 도움 활용"))))))</f>
        <v>경기긴장도</v>
      </c>
      <c r="AA108" s="43" t="str">
        <f aca="false">INDEX('포지션 정의'!$L$2:$L$9,MATCH(V108,'포지션 정의'!$D$2:$D$9,0))</f>
        <v>즐라탄 이브라히모비치 · 호나우지뉴 · 디에고 마라도나</v>
      </c>
      <c r="AB108" s="24" t="n">
        <f aca="false">ROUND(100*(1-SQRT(((S108-'포지션 정의'!$N$2)^2+(T108-'포지션 정의'!$O$2)^2+(U108-'포지션 정의'!$P$2)^2)/3)/'판정 기준'!$B$7),0)</f>
        <v>78</v>
      </c>
      <c r="AC108" s="24" t="n">
        <f aca="false">ROUND(100*(1-SQRT(((S108-'포지션 정의'!$N$3)^2+(T108-'포지션 정의'!$O$3)^2+(U108-'포지션 정의'!$P$3)^2)/3)/'판정 기준'!$B$7),0)</f>
        <v>79</v>
      </c>
      <c r="AD108" s="24" t="n">
        <f aca="false">ROUND(100*(1-SQRT(((S108-'포지션 정의'!$N$4)^2+(T108-'포지션 정의'!$O$4)^2+(U108-'포지션 정의'!$P$4)^2)/3)/'판정 기준'!$B$7),0)</f>
        <v>83</v>
      </c>
      <c r="AE108" s="24" t="n">
        <f aca="false">ROUND(100*(1-SQRT(((S108-'포지션 정의'!$N$5)^2+(T108-'포지션 정의'!$O$5)^2+(U108-'포지션 정의'!$P$5)^2)/3)/'판정 기준'!$B$7),0)</f>
        <v>93</v>
      </c>
      <c r="AF108" s="24" t="n">
        <f aca="false">ROUND(100*(1-SQRT(((S108-'포지션 정의'!$N$6)^2+(T108-'포지션 정의'!$O$6)^2+(U108-'포지션 정의'!$P$6)^2)/3)/'판정 기준'!$B$7),0)</f>
        <v>90</v>
      </c>
      <c r="AG108" s="24" t="n">
        <f aca="false">ROUND(100*(1-SQRT(((S108-'포지션 정의'!$N$7)^2+(T108-'포지션 정의'!$O$7)^2+(U108-'포지션 정의'!$P$7)^2)/3)/'판정 기준'!$B$7),0)</f>
        <v>84</v>
      </c>
      <c r="AH108" s="24" t="n">
        <f aca="false">ROUND(100*(1-SQRT(((S108-'포지션 정의'!$N$8)^2+(T108-'포지션 정의'!$O$8)^2+(U108-'포지션 정의'!$P$8)^2)/3)/'판정 기준'!$B$7),0)</f>
        <v>82</v>
      </c>
      <c r="AI108" s="24" t="n">
        <f aca="false">ROUND(100*(1-SQRT(((S108-'포지션 정의'!$N$9)^2+(T108-'포지션 정의'!$O$9)^2+(U108-'포지션 정의'!$P$9)^2)/3)/'판정 기준'!$B$7),0)</f>
        <v>86</v>
      </c>
      <c r="AJ108" s="23" t="str">
        <f aca="false">IF(G108&gt;='판정 기준'!$B$8,"경기긴장도, ","")&amp;IF(Q108&gt;='판정 기준'!$B$8,"사회적 도움 활용, ","")&amp;IF(K108&gt;='판정 기준'!$B$8,"경기 준비 능력, ","")&amp;IF(N108&gt;='판정 기준'!$B$8,"실수 후 회복력, ","")&amp;IF(P108&gt;='판정 기준'!$B$8,"자기 통제력, ","")</f>
        <v>사회적 도움 활용, 실수 후 회복력, 자기 통제력, </v>
      </c>
      <c r="AK108" s="23" t="n">
        <f aca="false">IF(AND(G108&lt;'판정 기준'!$B$8,OR(AJ108&lt;&gt;"",AP108&lt;&gt;"경기긴장도")),G108,0)</f>
        <v>4.7</v>
      </c>
      <c r="AL108" s="23" t="n">
        <f aca="false">IF(AND(Q108&lt;'판정 기준'!$B$8,OR(AJ108&lt;&gt;"",AP108&lt;&gt;"사회적 도움 활용")),Q108,0)</f>
        <v>0</v>
      </c>
      <c r="AM108" s="23" t="n">
        <f aca="false">IF(AND(K108&lt;'판정 기준'!$B$8,OR(AJ108&lt;&gt;"",AP108&lt;&gt;"경기 준비 능력")),K108,0)</f>
        <v>4.1</v>
      </c>
      <c r="AN108" s="23" t="n">
        <f aca="false">IF(AND(N108&lt;'판정 기준'!$B$8,OR(AJ108&lt;&gt;"",AP108&lt;&gt;"실수 후 회복력")),N108,0)</f>
        <v>0</v>
      </c>
      <c r="AO108" s="23" t="n">
        <f aca="false">IF(AND(P108&lt;'판정 기준'!$B$8,OR(AJ108&lt;&gt;"",AP108&lt;&gt;"자기 통제력")),P108,0)</f>
        <v>0</v>
      </c>
      <c r="AP108" s="23" t="str">
        <f aca="false">IF(Q108=MAX(G108,Q108,K108,N108,P108),"사회적 도움 활용",IF(P108=MAX(G108,Q108,K108,N108,P108),"자기 통제력",IF(G108=MAX(G108,Q108,K108,N108,P108),"경기긴장도",IF(K108=MAX(G108,Q108,K108,N108,P108),"경기 준비 능력","실수 후 회복력"))))</f>
        <v>사회적 도움 활용</v>
      </c>
    </row>
    <row r="109" customFormat="false" ht="17.15" hidden="false" customHeight="false" outlineLevel="0" collapsed="false">
      <c r="A109" s="13" t="s">
        <v>323</v>
      </c>
      <c r="B109" s="13" t="s">
        <v>187</v>
      </c>
      <c r="C109" s="13" t="s">
        <v>312</v>
      </c>
      <c r="D109" s="14" t="n">
        <v>46162</v>
      </c>
      <c r="E109" s="41" t="s">
        <v>198</v>
      </c>
      <c r="F109" s="42" t="n">
        <v>4.3</v>
      </c>
      <c r="G109" s="42" t="n">
        <v>3.9</v>
      </c>
      <c r="H109" s="42" t="n">
        <v>4.2</v>
      </c>
      <c r="I109" s="42" t="n">
        <v>3.6</v>
      </c>
      <c r="J109" s="42" t="n">
        <v>3.7</v>
      </c>
      <c r="K109" s="42" t="n">
        <v>4.4</v>
      </c>
      <c r="L109" s="42" t="n">
        <v>4.5</v>
      </c>
      <c r="M109" s="42" t="n">
        <v>4.3</v>
      </c>
      <c r="N109" s="42" t="n">
        <v>4.4</v>
      </c>
      <c r="O109" s="42" t="n">
        <v>4</v>
      </c>
      <c r="P109" s="42" t="n">
        <v>4.3</v>
      </c>
      <c r="Q109" s="42" t="n">
        <v>5</v>
      </c>
      <c r="R109" s="42" t="n">
        <v>5.7</v>
      </c>
      <c r="S109" s="37" t="n">
        <f aca="false">AVERAGE(G109:J109)</f>
        <v>3.85</v>
      </c>
      <c r="T109" s="37" t="n">
        <f aca="false">AVERAGE(K109:M109)</f>
        <v>4.4</v>
      </c>
      <c r="U109" s="37" t="n">
        <f aca="false">AVERAGE(N109:O109)</f>
        <v>4.2</v>
      </c>
      <c r="V109" s="23" t="str">
        <f aca="false">IF(S109&gt;='판정 기준'!$B$3,"H","L")&amp;IF(T109&gt;='판정 기준'!$B$3,"H","L")&amp;IF(U109&gt;='판정 기준'!$B$3,"H","L")</f>
        <v>LLL</v>
      </c>
      <c r="W109" s="36" t="str">
        <f aca="false">INDEX('포지션 정의'!$A$2:$A$9,MATCH(V109,'포지션 정의'!$D$2:$D$9,0))</f>
        <v>G</v>
      </c>
      <c r="X109" s="36" t="str">
        <f aca="false">INDEX('포지션 정의'!$B$2:$B$9,MATCH(V109,'포지션 정의'!$D$2:$D$9,0))</f>
        <v>스펀지 흡수형</v>
      </c>
      <c r="Y109" s="43" t="str">
        <f aca="false">IF(AJ109="","가장 높은 지표: "&amp;AP109,LEFT(AJ109,LEN(AJ109)-2))</f>
        <v>사회적 도움 활용</v>
      </c>
      <c r="Z109" s="43" t="str">
        <f aca="false">IF(MAX(AK109:AO109)=0,"심화: "&amp;IF(N109=MIN(G109,Q109,K109,N109,P109),"실수 후 회복력",IF(K109=MIN(G109,Q109,K109,N109,P109),"경기 준비 능력",IF(G109=MIN(G109,Q109,K109,N109,P109),"경기긴장도",IF(P109=MIN(G109,Q109,K109,N109,P109),"자기 통제력","사회적 도움 활용")))),IF(MAX(AK109:AO109)&gt;='판정 기준'!$B$8-'판정 기준'!$B$4,IF(AN109=MAX(AK109:AO109),"실수 후 회복력",IF(AM109=MAX(AK109:AO109),"경기 준비 능력",IF(AK109=MAX(AK109:AO109),"경기긴장도",IF(AO109=MAX(AK109:AO109),"자기 통제력","사회적 도움 활용")))),IF(AN109&gt;0,"실수 후 회복력",IF(AM109&gt;0,"경기 준비 능력",IF(AK109&gt;0,"경기긴장도",IF(AO109&gt;0,"자기 통제력","사회적 도움 활용"))))))</f>
        <v>실수 후 회복력</v>
      </c>
      <c r="AA109" s="43" t="str">
        <f aca="false">INDEX('포지션 정의'!$L$2:$L$9,MATCH(V109,'포지션 정의'!$D$2:$D$9,0))</f>
        <v>디디에 드로그바 · 앙투안 그리즈만 · 모하메드 살라</v>
      </c>
      <c r="AB109" s="24" t="n">
        <f aca="false">ROUND(100*(1-SQRT(((S109-'포지션 정의'!$N$2)^2+(T109-'포지션 정의'!$O$2)^2+(U109-'포지션 정의'!$P$2)^2)/3)/'판정 기준'!$B$7),0)</f>
        <v>90</v>
      </c>
      <c r="AC109" s="24" t="n">
        <f aca="false">ROUND(100*(1-SQRT(((S109-'포지션 정의'!$N$3)^2+(T109-'포지션 정의'!$O$3)^2+(U109-'포지션 정의'!$P$3)^2)/3)/'판정 기준'!$B$7),0)</f>
        <v>81</v>
      </c>
      <c r="AD109" s="24" t="n">
        <f aca="false">ROUND(100*(1-SQRT(((S109-'포지션 정의'!$N$4)^2+(T109-'포지션 정의'!$O$4)^2+(U109-'포지션 정의'!$P$4)^2)/3)/'판정 기준'!$B$7),0)</f>
        <v>82</v>
      </c>
      <c r="AE109" s="24" t="n">
        <f aca="false">ROUND(100*(1-SQRT(((S109-'포지션 정의'!$N$5)^2+(T109-'포지션 정의'!$O$5)^2+(U109-'포지션 정의'!$P$5)^2)/3)/'판정 기준'!$B$7),0)</f>
        <v>79</v>
      </c>
      <c r="AF109" s="24" t="n">
        <f aca="false">ROUND(100*(1-SQRT(((S109-'포지션 정의'!$N$6)^2+(T109-'포지션 정의'!$O$6)^2+(U109-'포지션 정의'!$P$6)^2)/3)/'판정 기준'!$B$7),0)</f>
        <v>87</v>
      </c>
      <c r="AG109" s="24" t="n">
        <f aca="false">ROUND(100*(1-SQRT(((S109-'포지션 정의'!$N$7)^2+(T109-'포지션 정의'!$O$7)^2+(U109-'포지션 정의'!$P$7)^2)/3)/'판정 기준'!$B$7),0)</f>
        <v>85</v>
      </c>
      <c r="AH109" s="24" t="n">
        <f aca="false">ROUND(100*(1-SQRT(((S109-'포지션 정의'!$N$8)^2+(T109-'포지션 정의'!$O$8)^2+(U109-'포지션 정의'!$P$8)^2)/3)/'판정 기준'!$B$7),0)</f>
        <v>92</v>
      </c>
      <c r="AI109" s="24" t="n">
        <f aca="false">ROUND(100*(1-SQRT(((S109-'포지션 정의'!$N$9)^2+(T109-'포지션 정의'!$O$9)^2+(U109-'포지션 정의'!$P$9)^2)/3)/'판정 기준'!$B$7),0)</f>
        <v>79</v>
      </c>
      <c r="AJ109" s="23" t="str">
        <f aca="false">IF(G109&gt;='판정 기준'!$B$8,"경기긴장도, ","")&amp;IF(Q109&gt;='판정 기준'!$B$8,"사회적 도움 활용, ","")&amp;IF(K109&gt;='판정 기준'!$B$8,"경기 준비 능력, ","")&amp;IF(N109&gt;='판정 기준'!$B$8,"실수 후 회복력, ","")&amp;IF(P109&gt;='판정 기준'!$B$8,"자기 통제력, ","")</f>
        <v>사회적 도움 활용, </v>
      </c>
      <c r="AK109" s="23" t="n">
        <f aca="false">IF(AND(G109&lt;'판정 기준'!$B$8,OR(AJ109&lt;&gt;"",AP109&lt;&gt;"경기긴장도")),G109,0)</f>
        <v>3.9</v>
      </c>
      <c r="AL109" s="23" t="n">
        <f aca="false">IF(AND(Q109&lt;'판정 기준'!$B$8,OR(AJ109&lt;&gt;"",AP109&lt;&gt;"사회적 도움 활용")),Q109,0)</f>
        <v>0</v>
      </c>
      <c r="AM109" s="23" t="n">
        <f aca="false">IF(AND(K109&lt;'판정 기준'!$B$8,OR(AJ109&lt;&gt;"",AP109&lt;&gt;"경기 준비 능력")),K109,0)</f>
        <v>4.4</v>
      </c>
      <c r="AN109" s="23" t="n">
        <f aca="false">IF(AND(N109&lt;'판정 기준'!$B$8,OR(AJ109&lt;&gt;"",AP109&lt;&gt;"실수 후 회복력")),N109,0)</f>
        <v>4.4</v>
      </c>
      <c r="AO109" s="23" t="n">
        <f aca="false">IF(AND(P109&lt;'판정 기준'!$B$8,OR(AJ109&lt;&gt;"",AP109&lt;&gt;"자기 통제력")),P109,0)</f>
        <v>4.3</v>
      </c>
      <c r="AP109" s="23" t="str">
        <f aca="false">IF(Q109=MAX(G109,Q109,K109,N109,P109),"사회적 도움 활용",IF(P109=MAX(G109,Q109,K109,N109,P109),"자기 통제력",IF(G109=MAX(G109,Q109,K109,N109,P109),"경기긴장도",IF(K109=MAX(G109,Q109,K109,N109,P109),"경기 준비 능력","실수 후 회복력"))))</f>
        <v>사회적 도움 활용</v>
      </c>
    </row>
    <row r="110" customFormat="false" ht="17.15" hidden="false" customHeight="false" outlineLevel="0" collapsed="false">
      <c r="A110" s="13" t="s">
        <v>324</v>
      </c>
      <c r="B110" s="13" t="s">
        <v>187</v>
      </c>
      <c r="C110" s="13" t="s">
        <v>312</v>
      </c>
      <c r="D110" s="14" t="n">
        <v>46162</v>
      </c>
      <c r="E110" s="41" t="s">
        <v>193</v>
      </c>
      <c r="F110" s="42" t="n">
        <v>3.8</v>
      </c>
      <c r="G110" s="42" t="n">
        <v>4.6</v>
      </c>
      <c r="H110" s="42" t="n">
        <v>4.8</v>
      </c>
      <c r="I110" s="42" t="n">
        <v>5.2</v>
      </c>
      <c r="J110" s="42" t="n">
        <v>3.7</v>
      </c>
      <c r="K110" s="42" t="n">
        <v>2.9</v>
      </c>
      <c r="L110" s="42" t="n">
        <v>2.7</v>
      </c>
      <c r="M110" s="42" t="n">
        <v>3.1</v>
      </c>
      <c r="N110" s="42" t="n">
        <v>4.1</v>
      </c>
      <c r="O110" s="42" t="n">
        <v>4</v>
      </c>
      <c r="P110" s="42" t="n">
        <v>3.3</v>
      </c>
      <c r="Q110" s="42" t="n">
        <v>5.6</v>
      </c>
      <c r="R110" s="42" t="n">
        <v>4</v>
      </c>
      <c r="S110" s="37" t="n">
        <f aca="false">AVERAGE(G110:J110)</f>
        <v>4.575</v>
      </c>
      <c r="T110" s="37" t="n">
        <f aca="false">AVERAGE(K110:M110)</f>
        <v>2.9</v>
      </c>
      <c r="U110" s="37" t="n">
        <f aca="false">AVERAGE(N110:O110)</f>
        <v>4.05</v>
      </c>
      <c r="V110" s="23" t="str">
        <f aca="false">IF(S110&gt;='판정 기준'!$B$3,"H","L")&amp;IF(T110&gt;='판정 기준'!$B$3,"H","L")&amp;IF(U110&gt;='판정 기준'!$B$3,"H","L")</f>
        <v>HLL</v>
      </c>
      <c r="W110" s="36" t="str">
        <f aca="false">INDEX('포지션 정의'!$A$2:$A$9,MATCH(V110,'포지션 정의'!$D$2:$D$9,0))</f>
        <v>C</v>
      </c>
      <c r="X110" s="36" t="str">
        <f aca="false">INDEX('포지션 정의'!$B$2:$B$9,MATCH(V110,'포지션 정의'!$D$2:$D$9,0))</f>
        <v>침착한 감각형</v>
      </c>
      <c r="Y110" s="43" t="str">
        <f aca="false">IF(AJ110="","가장 높은 지표: "&amp;AP110,LEFT(AJ110,LEN(AJ110)-2))</f>
        <v>사회적 도움 활용</v>
      </c>
      <c r="Z110" s="43" t="str">
        <f aca="false">IF(MAX(AK110:AO110)=0,"심화: "&amp;IF(N110=MIN(G110,Q110,K110,N110,P110),"실수 후 회복력",IF(K110=MIN(G110,Q110,K110,N110,P110),"경기 준비 능력",IF(G110=MIN(G110,Q110,K110,N110,P110),"경기긴장도",IF(P110=MIN(G110,Q110,K110,N110,P110),"자기 통제력","사회적 도움 활용")))),IF(MAX(AK110:AO110)&gt;='판정 기준'!$B$8-'판정 기준'!$B$4,IF(AN110=MAX(AK110:AO110),"실수 후 회복력",IF(AM110=MAX(AK110:AO110),"경기 준비 능력",IF(AK110=MAX(AK110:AO110),"경기긴장도",IF(AO110=MAX(AK110:AO110),"자기 통제력","사회적 도움 활용")))),IF(AN110&gt;0,"실수 후 회복력",IF(AM110&gt;0,"경기 준비 능력",IF(AK110&gt;0,"경기긴장도",IF(AO110&gt;0,"자기 통제력","사회적 도움 활용"))))))</f>
        <v>경기긴장도</v>
      </c>
      <c r="AA110" s="43" t="str">
        <f aca="false">INDEX('포지션 정의'!$L$2:$L$9,MATCH(V110,'포지션 정의'!$D$2:$D$9,0))</f>
        <v>안드레아 피를로 · 디미타르 베르바토프 · 메수트 외질</v>
      </c>
      <c r="AB110" s="24" t="n">
        <f aca="false">ROUND(100*(1-SQRT(((S110-'포지션 정의'!$N$2)^2+(T110-'포지션 정의'!$O$2)^2+(U110-'포지션 정의'!$P$2)^2)/3)/'판정 기준'!$B$7),0)</f>
        <v>72</v>
      </c>
      <c r="AC110" s="24" t="n">
        <f aca="false">ROUND(100*(1-SQRT(((S110-'포지션 정의'!$N$3)^2+(T110-'포지션 정의'!$O$3)^2+(U110-'포지션 정의'!$P$3)^2)/3)/'판정 기준'!$B$7),0)</f>
        <v>72</v>
      </c>
      <c r="AD110" s="24" t="n">
        <f aca="false">ROUND(100*(1-SQRT(((S110-'포지션 정의'!$N$4)^2+(T110-'포지션 정의'!$O$4)^2+(U110-'포지션 정의'!$P$4)^2)/3)/'판정 기준'!$B$7),0)</f>
        <v>87</v>
      </c>
      <c r="AE110" s="24" t="n">
        <f aca="false">ROUND(100*(1-SQRT(((S110-'포지션 정의'!$N$5)^2+(T110-'포지션 정의'!$O$5)^2+(U110-'포지션 정의'!$P$5)^2)/3)/'판정 기준'!$B$7),0)</f>
        <v>82</v>
      </c>
      <c r="AF110" s="24" t="n">
        <f aca="false">ROUND(100*(1-SQRT(((S110-'포지션 정의'!$N$6)^2+(T110-'포지션 정의'!$O$6)^2+(U110-'포지션 정의'!$P$6)^2)/3)/'판정 기준'!$B$7),0)</f>
        <v>81</v>
      </c>
      <c r="AG110" s="24" t="n">
        <f aca="false">ROUND(100*(1-SQRT(((S110-'포지션 정의'!$N$7)^2+(T110-'포지션 정의'!$O$7)^2+(U110-'포지션 정의'!$P$7)^2)/3)/'판정 기준'!$B$7),0)</f>
        <v>69</v>
      </c>
      <c r="AH110" s="24" t="n">
        <f aca="false">ROUND(100*(1-SQRT(((S110-'포지션 정의'!$N$8)^2+(T110-'포지션 정의'!$O$8)^2+(U110-'포지션 정의'!$P$8)^2)/3)/'판정 기준'!$B$7),0)</f>
        <v>86</v>
      </c>
      <c r="AI110" s="24" t="n">
        <f aca="false">ROUND(100*(1-SQRT(((S110-'포지션 정의'!$N$9)^2+(T110-'포지션 정의'!$O$9)^2+(U110-'포지션 정의'!$P$9)^2)/3)/'판정 기준'!$B$7),0)</f>
        <v>69</v>
      </c>
      <c r="AJ110" s="23" t="str">
        <f aca="false">IF(G110&gt;='판정 기준'!$B$8,"경기긴장도, ","")&amp;IF(Q110&gt;='판정 기준'!$B$8,"사회적 도움 활용, ","")&amp;IF(K110&gt;='판정 기준'!$B$8,"경기 준비 능력, ","")&amp;IF(N110&gt;='판정 기준'!$B$8,"실수 후 회복력, ","")&amp;IF(P110&gt;='판정 기준'!$B$8,"자기 통제력, ","")</f>
        <v>사회적 도움 활용, </v>
      </c>
      <c r="AK110" s="23" t="n">
        <f aca="false">IF(AND(G110&lt;'판정 기준'!$B$8,OR(AJ110&lt;&gt;"",AP110&lt;&gt;"경기긴장도")),G110,0)</f>
        <v>4.6</v>
      </c>
      <c r="AL110" s="23" t="n">
        <f aca="false">IF(AND(Q110&lt;'판정 기준'!$B$8,OR(AJ110&lt;&gt;"",AP110&lt;&gt;"사회적 도움 활용")),Q110,0)</f>
        <v>0</v>
      </c>
      <c r="AM110" s="23" t="n">
        <f aca="false">IF(AND(K110&lt;'판정 기준'!$B$8,OR(AJ110&lt;&gt;"",AP110&lt;&gt;"경기 준비 능력")),K110,0)</f>
        <v>2.9</v>
      </c>
      <c r="AN110" s="23" t="n">
        <f aca="false">IF(AND(N110&lt;'판정 기준'!$B$8,OR(AJ110&lt;&gt;"",AP110&lt;&gt;"실수 후 회복력")),N110,0)</f>
        <v>4.1</v>
      </c>
      <c r="AO110" s="23" t="n">
        <f aca="false">IF(AND(P110&lt;'판정 기준'!$B$8,OR(AJ110&lt;&gt;"",AP110&lt;&gt;"자기 통제력")),P110,0)</f>
        <v>3.3</v>
      </c>
      <c r="AP110" s="23" t="str">
        <f aca="false">IF(Q110=MAX(G110,Q110,K110,N110,P110),"사회적 도움 활용",IF(P110=MAX(G110,Q110,K110,N110,P110),"자기 통제력",IF(G110=MAX(G110,Q110,K110,N110,P110),"경기긴장도",IF(K110=MAX(G110,Q110,K110,N110,P110),"경기 준비 능력","실수 후 회복력"))))</f>
        <v>사회적 도움 활용</v>
      </c>
    </row>
    <row r="111" customFormat="false" ht="17.15" hidden="false" customHeight="false" outlineLevel="0" collapsed="false">
      <c r="A111" s="13" t="s">
        <v>325</v>
      </c>
      <c r="B111" s="13" t="s">
        <v>187</v>
      </c>
      <c r="C111" s="13" t="s">
        <v>312</v>
      </c>
      <c r="D111" s="14" t="n">
        <v>46162</v>
      </c>
      <c r="E111" s="41" t="s">
        <v>195</v>
      </c>
      <c r="F111" s="42" t="n">
        <v>4</v>
      </c>
      <c r="G111" s="42" t="n">
        <v>4.1</v>
      </c>
      <c r="H111" s="42" t="n">
        <v>4</v>
      </c>
      <c r="I111" s="42" t="n">
        <v>4.2</v>
      </c>
      <c r="J111" s="42" t="n">
        <v>3.8</v>
      </c>
      <c r="K111" s="42" t="n">
        <v>4</v>
      </c>
      <c r="L111" s="42" t="n">
        <v>4.2</v>
      </c>
      <c r="M111" s="42" t="n">
        <v>3.9</v>
      </c>
      <c r="N111" s="42" t="n">
        <v>4.6</v>
      </c>
      <c r="O111" s="42" t="n">
        <v>4.8</v>
      </c>
      <c r="P111" s="42" t="n">
        <v>3.2</v>
      </c>
      <c r="Q111" s="42" t="n">
        <v>5.4</v>
      </c>
      <c r="R111" s="42" t="n">
        <v>5</v>
      </c>
      <c r="S111" s="37" t="n">
        <f aca="false">AVERAGE(G111:J111)</f>
        <v>4.025</v>
      </c>
      <c r="T111" s="37" t="n">
        <f aca="false">AVERAGE(K111:M111)</f>
        <v>4.03333333333333</v>
      </c>
      <c r="U111" s="37" t="n">
        <f aca="false">AVERAGE(N111:O111)</f>
        <v>4.7</v>
      </c>
      <c r="V111" s="23" t="str">
        <f aca="false">IF(S111&gt;='판정 기준'!$B$3,"H","L")&amp;IF(T111&gt;='판정 기준'!$B$3,"H","L")&amp;IF(U111&gt;='판정 기준'!$B$3,"H","L")</f>
        <v>LLH</v>
      </c>
      <c r="W111" s="36" t="str">
        <f aca="false">INDEX('포지션 정의'!$A$2:$A$9,MATCH(V111,'포지션 정의'!$D$2:$D$9,0))</f>
        <v>E</v>
      </c>
      <c r="X111" s="36" t="str">
        <f aca="false">INDEX('포지션 정의'!$B$2:$B$9,MATCH(V111,'포지션 정의'!$D$2:$D$9,0))</f>
        <v>오뚝이 회복형</v>
      </c>
      <c r="Y111" s="43" t="str">
        <f aca="false">IF(AJ111="","가장 높은 지표: "&amp;AP111,LEFT(AJ111,LEN(AJ111)-2))</f>
        <v>사회적 도움 활용</v>
      </c>
      <c r="Z111" s="43" t="str">
        <f aca="false">IF(MAX(AK111:AO111)=0,"심화: "&amp;IF(N111=MIN(G111,Q111,K111,N111,P111),"실수 후 회복력",IF(K111=MIN(G111,Q111,K111,N111,P111),"경기 준비 능력",IF(G111=MIN(G111,Q111,K111,N111,P111),"경기긴장도",IF(P111=MIN(G111,Q111,K111,N111,P111),"자기 통제력","사회적 도움 활용")))),IF(MAX(AK111:AO111)&gt;='판정 기준'!$B$8-'판정 기준'!$B$4,IF(AN111=MAX(AK111:AO111),"실수 후 회복력",IF(AM111=MAX(AK111:AO111),"경기 준비 능력",IF(AK111=MAX(AK111:AO111),"경기긴장도",IF(AO111=MAX(AK111:AO111),"자기 통제력","사회적 도움 활용")))),IF(AN111&gt;0,"실수 후 회복력",IF(AM111&gt;0,"경기 준비 능력",IF(AK111&gt;0,"경기긴장도",IF(AO111&gt;0,"자기 통제력","사회적 도움 활용"))))))</f>
        <v>실수 후 회복력</v>
      </c>
      <c r="AA111" s="43" t="str">
        <f aca="false">INDEX('포지션 정의'!$L$2:$L$9,MATCH(V111,'포지션 정의'!$D$2:$D$9,0))</f>
        <v>올리비에 지루 · 디에고 포를란 · 라다멜 팔카오</v>
      </c>
      <c r="AB111" s="24" t="n">
        <f aca="false">ROUND(100*(1-SQRT(((S111-'포지션 정의'!$N$2)^2+(T111-'포지션 정의'!$O$2)^2+(U111-'포지션 정의'!$P$2)^2)/3)/'판정 기준'!$B$7),0)</f>
        <v>83</v>
      </c>
      <c r="AC111" s="24" t="n">
        <f aca="false">ROUND(100*(1-SQRT(((S111-'포지션 정의'!$N$3)^2+(T111-'포지션 정의'!$O$3)^2+(U111-'포지션 정의'!$P$3)^2)/3)/'판정 기준'!$B$7),0)</f>
        <v>78</v>
      </c>
      <c r="AD111" s="24" t="n">
        <f aca="false">ROUND(100*(1-SQRT(((S111-'포지션 정의'!$N$4)^2+(T111-'포지션 정의'!$O$4)^2+(U111-'포지션 정의'!$P$4)^2)/3)/'판정 기준'!$B$7),0)</f>
        <v>83</v>
      </c>
      <c r="AE111" s="24" t="n">
        <f aca="false">ROUND(100*(1-SQRT(((S111-'포지션 정의'!$N$5)^2+(T111-'포지션 정의'!$O$5)^2+(U111-'포지션 정의'!$P$5)^2)/3)/'판정 기준'!$B$7),0)</f>
        <v>85</v>
      </c>
      <c r="AF111" s="24" t="n">
        <f aca="false">ROUND(100*(1-SQRT(((S111-'포지션 정의'!$N$6)^2+(T111-'포지션 정의'!$O$6)^2+(U111-'포지션 정의'!$P$6)^2)/3)/'판정 기준'!$B$7),0)</f>
        <v>93</v>
      </c>
      <c r="AG111" s="24" t="n">
        <f aca="false">ROUND(100*(1-SQRT(((S111-'포지션 정의'!$N$7)^2+(T111-'포지션 정의'!$O$7)^2+(U111-'포지션 정의'!$P$7)^2)/3)/'판정 기준'!$B$7),0)</f>
        <v>85</v>
      </c>
      <c r="AH111" s="24" t="n">
        <f aca="false">ROUND(100*(1-SQRT(((S111-'포지션 정의'!$N$8)^2+(T111-'포지션 정의'!$O$8)^2+(U111-'포지션 정의'!$P$8)^2)/3)/'판정 기준'!$B$7),0)</f>
        <v>89</v>
      </c>
      <c r="AI111" s="24" t="n">
        <f aca="false">ROUND(100*(1-SQRT(((S111-'포지션 정의'!$N$9)^2+(T111-'포지션 정의'!$O$9)^2+(U111-'포지션 정의'!$P$9)^2)/3)/'판정 기준'!$B$7),0)</f>
        <v>80</v>
      </c>
      <c r="AJ111" s="23" t="str">
        <f aca="false">IF(G111&gt;='판정 기준'!$B$8,"경기긴장도, ","")&amp;IF(Q111&gt;='판정 기준'!$B$8,"사회적 도움 활용, ","")&amp;IF(K111&gt;='판정 기준'!$B$8,"경기 준비 능력, ","")&amp;IF(N111&gt;='판정 기준'!$B$8,"실수 후 회복력, ","")&amp;IF(P111&gt;='판정 기준'!$B$8,"자기 통제력, ","")</f>
        <v>사회적 도움 활용, </v>
      </c>
      <c r="AK111" s="23" t="n">
        <f aca="false">IF(AND(G111&lt;'판정 기준'!$B$8,OR(AJ111&lt;&gt;"",AP111&lt;&gt;"경기긴장도")),G111,0)</f>
        <v>4.1</v>
      </c>
      <c r="AL111" s="23" t="n">
        <f aca="false">IF(AND(Q111&lt;'판정 기준'!$B$8,OR(AJ111&lt;&gt;"",AP111&lt;&gt;"사회적 도움 활용")),Q111,0)</f>
        <v>0</v>
      </c>
      <c r="AM111" s="23" t="n">
        <f aca="false">IF(AND(K111&lt;'판정 기준'!$B$8,OR(AJ111&lt;&gt;"",AP111&lt;&gt;"경기 준비 능력")),K111,0)</f>
        <v>4</v>
      </c>
      <c r="AN111" s="23" t="n">
        <f aca="false">IF(AND(N111&lt;'판정 기준'!$B$8,OR(AJ111&lt;&gt;"",AP111&lt;&gt;"실수 후 회복력")),N111,0)</f>
        <v>4.6</v>
      </c>
      <c r="AO111" s="23" t="n">
        <f aca="false">IF(AND(P111&lt;'판정 기준'!$B$8,OR(AJ111&lt;&gt;"",AP111&lt;&gt;"자기 통제력")),P111,0)</f>
        <v>3.2</v>
      </c>
      <c r="AP111" s="23" t="str">
        <f aca="false">IF(Q111=MAX(G111,Q111,K111,N111,P111),"사회적 도움 활용",IF(P111=MAX(G111,Q111,K111,N111,P111),"자기 통제력",IF(G111=MAX(G111,Q111,K111,N111,P111),"경기긴장도",IF(K111=MAX(G111,Q111,K111,N111,P111),"경기 준비 능력","실수 후 회복력"))))</f>
        <v>사회적 도움 활용</v>
      </c>
    </row>
    <row r="112" customFormat="false" ht="17.15" hidden="false" customHeight="false" outlineLevel="0" collapsed="false">
      <c r="A112" s="13" t="s">
        <v>326</v>
      </c>
      <c r="B112" s="13" t="s">
        <v>187</v>
      </c>
      <c r="C112" s="13" t="s">
        <v>312</v>
      </c>
      <c r="D112" s="14" t="n">
        <v>46169</v>
      </c>
      <c r="E112" s="41" t="s">
        <v>195</v>
      </c>
      <c r="F112" s="42" t="n">
        <v>4.8</v>
      </c>
      <c r="G112" s="42" t="n">
        <v>5</v>
      </c>
      <c r="H112" s="42" t="n">
        <v>5.3</v>
      </c>
      <c r="I112" s="42" t="n">
        <v>5.4</v>
      </c>
      <c r="J112" s="42" t="n">
        <v>4.5</v>
      </c>
      <c r="K112" s="42" t="n">
        <v>3.5</v>
      </c>
      <c r="L112" s="42" t="n">
        <v>3.2</v>
      </c>
      <c r="M112" s="42" t="n">
        <v>3.7</v>
      </c>
      <c r="N112" s="42" t="n">
        <v>5.9</v>
      </c>
      <c r="O112" s="42" t="n">
        <v>6</v>
      </c>
      <c r="P112" s="42" t="n">
        <v>4.7</v>
      </c>
      <c r="Q112" s="42" t="n">
        <v>5.8</v>
      </c>
      <c r="R112" s="42" t="n">
        <v>3.3</v>
      </c>
      <c r="S112" s="37" t="n">
        <f aca="false">AVERAGE(G112:J112)</f>
        <v>5.05</v>
      </c>
      <c r="T112" s="37" t="n">
        <f aca="false">AVERAGE(K112:M112)</f>
        <v>3.46666666666667</v>
      </c>
      <c r="U112" s="37" t="n">
        <f aca="false">AVERAGE(N112:O112)</f>
        <v>5.95</v>
      </c>
      <c r="V112" s="23" t="str">
        <f aca="false">IF(S112&gt;='판정 기준'!$B$3,"H","L")&amp;IF(T112&gt;='판정 기준'!$B$3,"H","L")&amp;IF(U112&gt;='판정 기준'!$B$3,"H","L")</f>
        <v>HLH</v>
      </c>
      <c r="W112" s="36" t="str">
        <f aca="false">INDEX('포지션 정의'!$A$2:$A$9,MATCH(V112,'포지션 정의'!$D$2:$D$9,0))</f>
        <v>D</v>
      </c>
      <c r="X112" s="36" t="str">
        <f aca="false">INDEX('포지션 정의'!$B$2:$B$9,MATCH(V112,'포지션 정의'!$D$2:$D$9,0))</f>
        <v>실전 승부사형</v>
      </c>
      <c r="Y112" s="43" t="str">
        <f aca="false">IF(AJ112="","가장 높은 지표: "&amp;AP112,LEFT(AJ112,LEN(AJ112)-2))</f>
        <v>경기긴장도, 사회적 도움 활용, 실수 후 회복력</v>
      </c>
      <c r="Z112" s="43" t="str">
        <f aca="false">IF(MAX(AK112:AO112)=0,"심화: "&amp;IF(N112=MIN(G112,Q112,K112,N112,P112),"실수 후 회복력",IF(K112=MIN(G112,Q112,K112,N112,P112),"경기 준비 능력",IF(G112=MIN(G112,Q112,K112,N112,P112),"경기긴장도",IF(P112=MIN(G112,Q112,K112,N112,P112),"자기 통제력","사회적 도움 활용")))),IF(MAX(AK112:AO112)&gt;='판정 기준'!$B$8-'판정 기준'!$B$4,IF(AN112=MAX(AK112:AO112),"실수 후 회복력",IF(AM112=MAX(AK112:AO112),"경기 준비 능력",IF(AK112=MAX(AK112:AO112),"경기긴장도",IF(AO112=MAX(AK112:AO112),"자기 통제력","사회적 도움 활용")))),IF(AN112&gt;0,"실수 후 회복력",IF(AM112&gt;0,"경기 준비 능력",IF(AK112&gt;0,"경기긴장도",IF(AO112&gt;0,"자기 통제력","사회적 도움 활용"))))))</f>
        <v>자기 통제력</v>
      </c>
      <c r="AA112" s="43" t="str">
        <f aca="false">INDEX('포지션 정의'!$L$2:$L$9,MATCH(V112,'포지션 정의'!$D$2:$D$9,0))</f>
        <v>즐라탄 이브라히모비치 · 호나우지뉴 · 디에고 마라도나</v>
      </c>
      <c r="AB112" s="24" t="n">
        <f aca="false">ROUND(100*(1-SQRT(((S112-'포지션 정의'!$N$2)^2+(T112-'포지션 정의'!$O$2)^2+(U112-'포지션 정의'!$P$2)^2)/3)/'판정 기준'!$B$7),0)</f>
        <v>65</v>
      </c>
      <c r="AC112" s="24" t="n">
        <f aca="false">ROUND(100*(1-SQRT(((S112-'포지션 정의'!$N$3)^2+(T112-'포지션 정의'!$O$3)^2+(U112-'포지션 정의'!$P$3)^2)/3)/'판정 기준'!$B$7),0)</f>
        <v>68</v>
      </c>
      <c r="AD112" s="24" t="n">
        <f aca="false">ROUND(100*(1-SQRT(((S112-'포지션 정의'!$N$4)^2+(T112-'포지션 정의'!$O$4)^2+(U112-'포지션 정의'!$P$4)^2)/3)/'판정 기준'!$B$7),0)</f>
        <v>75</v>
      </c>
      <c r="AE112" s="24" t="n">
        <f aca="false">ROUND(100*(1-SQRT(((S112-'포지션 정의'!$N$5)^2+(T112-'포지션 정의'!$O$5)^2+(U112-'포지션 정의'!$P$5)^2)/3)/'판정 기준'!$B$7),0)</f>
        <v>90</v>
      </c>
      <c r="AF112" s="24" t="n">
        <f aca="false">ROUND(100*(1-SQRT(((S112-'포지션 정의'!$N$6)^2+(T112-'포지션 정의'!$O$6)^2+(U112-'포지션 정의'!$P$6)^2)/3)/'판정 기준'!$B$7),0)</f>
        <v>83</v>
      </c>
      <c r="AG112" s="24" t="n">
        <f aca="false">ROUND(100*(1-SQRT(((S112-'포지션 정의'!$N$7)^2+(T112-'포지션 정의'!$O$7)^2+(U112-'포지션 정의'!$P$7)^2)/3)/'판정 기준'!$B$7),0)</f>
        <v>74</v>
      </c>
      <c r="AH112" s="24" t="n">
        <f aca="false">ROUND(100*(1-SQRT(((S112-'포지션 정의'!$N$8)^2+(T112-'포지션 정의'!$O$8)^2+(U112-'포지션 정의'!$P$8)^2)/3)/'판정 기준'!$B$7),0)</f>
        <v>71</v>
      </c>
      <c r="AI112" s="24" t="n">
        <f aca="false">ROUND(100*(1-SQRT(((S112-'포지션 정의'!$N$9)^2+(T112-'포지션 정의'!$O$9)^2+(U112-'포지션 정의'!$P$9)^2)/3)/'판정 기준'!$B$7),0)</f>
        <v>78</v>
      </c>
      <c r="AJ112" s="23" t="str">
        <f aca="false">IF(G112&gt;='판정 기준'!$B$8,"경기긴장도, ","")&amp;IF(Q112&gt;='판정 기준'!$B$8,"사회적 도움 활용, ","")&amp;IF(K112&gt;='판정 기준'!$B$8,"경기 준비 능력, ","")&amp;IF(N112&gt;='판정 기준'!$B$8,"실수 후 회복력, ","")&amp;IF(P112&gt;='판정 기준'!$B$8,"자기 통제력, ","")</f>
        <v>경기긴장도, 사회적 도움 활용, 실수 후 회복력, </v>
      </c>
      <c r="AK112" s="23" t="n">
        <f aca="false">IF(AND(G112&lt;'판정 기준'!$B$8,OR(AJ112&lt;&gt;"",AP112&lt;&gt;"경기긴장도")),G112,0)</f>
        <v>0</v>
      </c>
      <c r="AL112" s="23" t="n">
        <f aca="false">IF(AND(Q112&lt;'판정 기준'!$B$8,OR(AJ112&lt;&gt;"",AP112&lt;&gt;"사회적 도움 활용")),Q112,0)</f>
        <v>0</v>
      </c>
      <c r="AM112" s="23" t="n">
        <f aca="false">IF(AND(K112&lt;'판정 기준'!$B$8,OR(AJ112&lt;&gt;"",AP112&lt;&gt;"경기 준비 능력")),K112,0)</f>
        <v>3.5</v>
      </c>
      <c r="AN112" s="23" t="n">
        <f aca="false">IF(AND(N112&lt;'판정 기준'!$B$8,OR(AJ112&lt;&gt;"",AP112&lt;&gt;"실수 후 회복력")),N112,0)</f>
        <v>0</v>
      </c>
      <c r="AO112" s="23" t="n">
        <f aca="false">IF(AND(P112&lt;'판정 기준'!$B$8,OR(AJ112&lt;&gt;"",AP112&lt;&gt;"자기 통제력")),P112,0)</f>
        <v>4.7</v>
      </c>
      <c r="AP112" s="23" t="str">
        <f aca="false">IF(Q112=MAX(G112,Q112,K112,N112,P112),"사회적 도움 활용",IF(P112=MAX(G112,Q112,K112,N112,P112),"자기 통제력",IF(G112=MAX(G112,Q112,K112,N112,P112),"경기긴장도",IF(K112=MAX(G112,Q112,K112,N112,P112),"경기 준비 능력","실수 후 회복력"))))</f>
        <v>실수 후 회복력</v>
      </c>
    </row>
    <row r="113" customFormat="false" ht="17.15" hidden="false" customHeight="false" outlineLevel="0" collapsed="false">
      <c r="A113" s="13" t="s">
        <v>327</v>
      </c>
      <c r="B113" s="13" t="s">
        <v>187</v>
      </c>
      <c r="C113" s="13" t="s">
        <v>315</v>
      </c>
      <c r="D113" s="14" t="n">
        <v>46162</v>
      </c>
      <c r="E113" s="41" t="s">
        <v>198</v>
      </c>
      <c r="F113" s="42" t="n">
        <v>3.7</v>
      </c>
      <c r="G113" s="42" t="n">
        <v>3.9</v>
      </c>
      <c r="H113" s="42" t="n">
        <v>4</v>
      </c>
      <c r="I113" s="42" t="n">
        <v>5</v>
      </c>
      <c r="J113" s="42" t="n">
        <v>3.5</v>
      </c>
      <c r="K113" s="42" t="n">
        <v>4.9</v>
      </c>
      <c r="L113" s="42" t="n">
        <v>5</v>
      </c>
      <c r="M113" s="42" t="n">
        <v>4.9</v>
      </c>
      <c r="N113" s="42" t="n">
        <v>2.7</v>
      </c>
      <c r="O113" s="42" t="n">
        <v>3</v>
      </c>
      <c r="P113" s="42" t="n">
        <v>3.2</v>
      </c>
      <c r="Q113" s="42" t="n">
        <v>5</v>
      </c>
      <c r="R113" s="42" t="n">
        <v>4.7</v>
      </c>
      <c r="S113" s="37" t="n">
        <f aca="false">AVERAGE(G113:J113)</f>
        <v>4.1</v>
      </c>
      <c r="T113" s="37" t="n">
        <f aca="false">AVERAGE(K113:M113)</f>
        <v>4.93333333333333</v>
      </c>
      <c r="U113" s="37" t="n">
        <f aca="false">AVERAGE(N113:O113)</f>
        <v>2.85</v>
      </c>
      <c r="V113" s="23" t="str">
        <f aca="false">IF(S113&gt;='판정 기준'!$B$3,"H","L")&amp;IF(T113&gt;='판정 기준'!$B$3,"H","L")&amp;IF(U113&gt;='판정 기준'!$B$3,"H","L")</f>
        <v>LHL</v>
      </c>
      <c r="W113" s="36" t="str">
        <f aca="false">INDEX('포지션 정의'!$A$2:$A$9,MATCH(V113,'포지션 정의'!$D$2:$D$9,0))</f>
        <v>A</v>
      </c>
      <c r="X113" s="36" t="str">
        <f aca="false">INDEX('포지션 정의'!$B$2:$B$9,MATCH(V113,'포지션 정의'!$D$2:$D$9,0))</f>
        <v>섬세한 준비형</v>
      </c>
      <c r="Y113" s="43" t="str">
        <f aca="false">IF(AJ113="","가장 높은 지표: "&amp;AP113,LEFT(AJ113,LEN(AJ113)-2))</f>
        <v>사회적 도움 활용, 경기 준비 능력</v>
      </c>
      <c r="Z113" s="43" t="str">
        <f aca="false">IF(MAX(AK113:AO113)=0,"심화: "&amp;IF(N113=MIN(G113,Q113,K113,N113,P113),"실수 후 회복력",IF(K113=MIN(G113,Q113,K113,N113,P113),"경기 준비 능력",IF(G113=MIN(G113,Q113,K113,N113,P113),"경기긴장도",IF(P113=MIN(G113,Q113,K113,N113,P113),"자기 통제력","사회적 도움 활용")))),IF(MAX(AK113:AO113)&gt;='판정 기준'!$B$8-'판정 기준'!$B$4,IF(AN113=MAX(AK113:AO113),"실수 후 회복력",IF(AM113=MAX(AK113:AO113),"경기 준비 능력",IF(AK113=MAX(AK113:AO113),"경기긴장도",IF(AO113=MAX(AK113:AO113),"자기 통제력","사회적 도움 활용")))),IF(AN113&gt;0,"실수 후 회복력",IF(AM113&gt;0,"경기 준비 능력",IF(AK113&gt;0,"경기긴장도",IF(AO113&gt;0,"자기 통제력","사회적 도움 활용"))))))</f>
        <v>실수 후 회복력</v>
      </c>
      <c r="AA113" s="43" t="str">
        <f aca="false">INDEX('포지션 정의'!$L$2:$L$9,MATCH(V113,'포지션 정의'!$D$2:$D$9,0))</f>
        <v>로베르트 레반도프스키 · 제임스 밀너 · 마르틴 외데고르</v>
      </c>
      <c r="AB113" s="24" t="n">
        <f aca="false">ROUND(100*(1-SQRT(((S113-'포지션 정의'!$N$2)^2+(T113-'포지션 정의'!$O$2)^2+(U113-'포지션 정의'!$P$2)^2)/3)/'판정 기준'!$B$7),0)</f>
        <v>88</v>
      </c>
      <c r="AC113" s="24" t="n">
        <f aca="false">ROUND(100*(1-SQRT(((S113-'포지션 정의'!$N$3)^2+(T113-'포지션 정의'!$O$3)^2+(U113-'포지션 정의'!$P$3)^2)/3)/'판정 기준'!$B$7),0)</f>
        <v>83</v>
      </c>
      <c r="AD113" s="24" t="n">
        <f aca="false">ROUND(100*(1-SQRT(((S113-'포지션 정의'!$N$4)^2+(T113-'포지션 정의'!$O$4)^2+(U113-'포지션 정의'!$P$4)^2)/3)/'판정 기준'!$B$7),0)</f>
        <v>79</v>
      </c>
      <c r="AE113" s="24" t="n">
        <f aca="false">ROUND(100*(1-SQRT(((S113-'포지션 정의'!$N$5)^2+(T113-'포지션 정의'!$O$5)^2+(U113-'포지션 정의'!$P$5)^2)/3)/'판정 기준'!$B$7),0)</f>
        <v>67</v>
      </c>
      <c r="AF113" s="24" t="n">
        <f aca="false">ROUND(100*(1-SQRT(((S113-'포지션 정의'!$N$6)^2+(T113-'포지션 정의'!$O$6)^2+(U113-'포지션 정의'!$P$6)^2)/3)/'판정 기준'!$B$7),0)</f>
        <v>70</v>
      </c>
      <c r="AG113" s="24" t="n">
        <f aca="false">ROUND(100*(1-SQRT(((S113-'포지션 정의'!$N$7)^2+(T113-'포지션 정의'!$O$7)^2+(U113-'포지션 정의'!$P$7)^2)/3)/'판정 기준'!$B$7),0)</f>
        <v>72</v>
      </c>
      <c r="AH113" s="24" t="n">
        <f aca="false">ROUND(100*(1-SQRT(((S113-'포지션 정의'!$N$8)^2+(T113-'포지션 정의'!$O$8)^2+(U113-'포지션 정의'!$P$8)^2)/3)/'판정 기준'!$B$7),0)</f>
        <v>83</v>
      </c>
      <c r="AI113" s="24" t="n">
        <f aca="false">ROUND(100*(1-SQRT(((S113-'포지션 정의'!$N$9)^2+(T113-'포지션 정의'!$O$9)^2+(U113-'포지션 정의'!$P$9)^2)/3)/'판정 기준'!$B$7),0)</f>
        <v>70</v>
      </c>
      <c r="AJ113" s="23" t="str">
        <f aca="false">IF(G113&gt;='판정 기준'!$B$8,"경기긴장도, ","")&amp;IF(Q113&gt;='판정 기준'!$B$8,"사회적 도움 활용, ","")&amp;IF(K113&gt;='판정 기준'!$B$8,"경기 준비 능력, ","")&amp;IF(N113&gt;='판정 기준'!$B$8,"실수 후 회복력, ","")&amp;IF(P113&gt;='판정 기준'!$B$8,"자기 통제력, ","")</f>
        <v>사회적 도움 활용, 경기 준비 능력, </v>
      </c>
      <c r="AK113" s="23" t="n">
        <f aca="false">IF(AND(G113&lt;'판정 기준'!$B$8,OR(AJ113&lt;&gt;"",AP113&lt;&gt;"경기긴장도")),G113,0)</f>
        <v>3.9</v>
      </c>
      <c r="AL113" s="23" t="n">
        <f aca="false">IF(AND(Q113&lt;'판정 기준'!$B$8,OR(AJ113&lt;&gt;"",AP113&lt;&gt;"사회적 도움 활용")),Q113,0)</f>
        <v>0</v>
      </c>
      <c r="AM113" s="23" t="n">
        <f aca="false">IF(AND(K113&lt;'판정 기준'!$B$8,OR(AJ113&lt;&gt;"",AP113&lt;&gt;"경기 준비 능력")),K113,0)</f>
        <v>0</v>
      </c>
      <c r="AN113" s="23" t="n">
        <f aca="false">IF(AND(N113&lt;'판정 기준'!$B$8,OR(AJ113&lt;&gt;"",AP113&lt;&gt;"실수 후 회복력")),N113,0)</f>
        <v>2.7</v>
      </c>
      <c r="AO113" s="23" t="n">
        <f aca="false">IF(AND(P113&lt;'판정 기준'!$B$8,OR(AJ113&lt;&gt;"",AP113&lt;&gt;"자기 통제력")),P113,0)</f>
        <v>3.2</v>
      </c>
      <c r="AP113" s="23" t="str">
        <f aca="false">IF(Q113=MAX(G113,Q113,K113,N113,P113),"사회적 도움 활용",IF(P113=MAX(G113,Q113,K113,N113,P113),"자기 통제력",IF(G113=MAX(G113,Q113,K113,N113,P113),"경기긴장도",IF(K113=MAX(G113,Q113,K113,N113,P113),"경기 준비 능력","실수 후 회복력"))))</f>
        <v>사회적 도움 활용</v>
      </c>
    </row>
    <row r="114" customFormat="false" ht="17.15" hidden="false" customHeight="false" outlineLevel="0" collapsed="false">
      <c r="A114" s="13" t="s">
        <v>328</v>
      </c>
      <c r="B114" s="13" t="s">
        <v>187</v>
      </c>
      <c r="C114" s="13" t="s">
        <v>329</v>
      </c>
      <c r="D114" s="14" t="n">
        <v>46162</v>
      </c>
      <c r="E114" s="41" t="s">
        <v>198</v>
      </c>
      <c r="F114" s="42" t="n">
        <v>4</v>
      </c>
      <c r="G114" s="42" t="n">
        <v>3.9</v>
      </c>
      <c r="H114" s="42" t="n">
        <v>4</v>
      </c>
      <c r="I114" s="42" t="n">
        <v>3.4</v>
      </c>
      <c r="J114" s="42" t="n">
        <v>3.5</v>
      </c>
      <c r="K114" s="42" t="n">
        <v>4.3</v>
      </c>
      <c r="L114" s="42" t="n">
        <v>4.2</v>
      </c>
      <c r="M114" s="42" t="n">
        <v>4.4</v>
      </c>
      <c r="N114" s="42" t="n">
        <v>3.4</v>
      </c>
      <c r="O114" s="42" t="n">
        <v>3.8</v>
      </c>
      <c r="P114" s="42" t="n">
        <v>4.7</v>
      </c>
      <c r="Q114" s="42" t="n">
        <v>5.4</v>
      </c>
      <c r="R114" s="42" t="n">
        <v>6</v>
      </c>
      <c r="S114" s="37" t="n">
        <f aca="false">AVERAGE(G114:J114)</f>
        <v>3.7</v>
      </c>
      <c r="T114" s="37" t="n">
        <f aca="false">AVERAGE(K114:M114)</f>
        <v>4.3</v>
      </c>
      <c r="U114" s="37" t="n">
        <f aca="false">AVERAGE(N114:O114)</f>
        <v>3.6</v>
      </c>
      <c r="V114" s="23" t="str">
        <f aca="false">IF(S114&gt;='판정 기준'!$B$3,"H","L")&amp;IF(T114&gt;='판정 기준'!$B$3,"H","L")&amp;IF(U114&gt;='판정 기준'!$B$3,"H","L")</f>
        <v>LLL</v>
      </c>
      <c r="W114" s="36" t="str">
        <f aca="false">INDEX('포지션 정의'!$A$2:$A$9,MATCH(V114,'포지션 정의'!$D$2:$D$9,0))</f>
        <v>G</v>
      </c>
      <c r="X114" s="36" t="str">
        <f aca="false">INDEX('포지션 정의'!$B$2:$B$9,MATCH(V114,'포지션 정의'!$D$2:$D$9,0))</f>
        <v>스펀지 흡수형</v>
      </c>
      <c r="Y114" s="43" t="str">
        <f aca="false">IF(AJ114="","가장 높은 지표: "&amp;AP114,LEFT(AJ114,LEN(AJ114)-2))</f>
        <v>사회적 도움 활용</v>
      </c>
      <c r="Z114" s="43" t="str">
        <f aca="false">IF(MAX(AK114:AO114)=0,"심화: "&amp;IF(N114=MIN(G114,Q114,K114,N114,P114),"실수 후 회복력",IF(K114=MIN(G114,Q114,K114,N114,P114),"경기 준비 능력",IF(G114=MIN(G114,Q114,K114,N114,P114),"경기긴장도",IF(P114=MIN(G114,Q114,K114,N114,P114),"자기 통제력","사회적 도움 활용")))),IF(MAX(AK114:AO114)&gt;='판정 기준'!$B$8-'판정 기준'!$B$4,IF(AN114=MAX(AK114:AO114),"실수 후 회복력",IF(AM114=MAX(AK114:AO114),"경기 준비 능력",IF(AK114=MAX(AK114:AO114),"경기긴장도",IF(AO114=MAX(AK114:AO114),"자기 통제력","사회적 도움 활용")))),IF(AN114&gt;0,"실수 후 회복력",IF(AM114&gt;0,"경기 준비 능력",IF(AK114&gt;0,"경기긴장도",IF(AO114&gt;0,"자기 통제력","사회적 도움 활용"))))))</f>
        <v>자기 통제력</v>
      </c>
      <c r="AA114" s="43" t="str">
        <f aca="false">INDEX('포지션 정의'!$L$2:$L$9,MATCH(V114,'포지션 정의'!$D$2:$D$9,0))</f>
        <v>디디에 드로그바 · 앙투안 그리즈만 · 모하메드 살라</v>
      </c>
      <c r="AB114" s="24" t="n">
        <f aca="false">ROUND(100*(1-SQRT(((S114-'포지션 정의'!$N$2)^2+(T114-'포지션 정의'!$O$2)^2+(U114-'포지션 정의'!$P$2)^2)/3)/'판정 기준'!$B$7),0)</f>
        <v>89</v>
      </c>
      <c r="AC114" s="24" t="n">
        <f aca="false">ROUND(100*(1-SQRT(((S114-'포지션 정의'!$N$3)^2+(T114-'포지션 정의'!$O$3)^2+(U114-'포지션 정의'!$P$3)^2)/3)/'판정 기준'!$B$7),0)</f>
        <v>80</v>
      </c>
      <c r="AD114" s="24" t="n">
        <f aca="false">ROUND(100*(1-SQRT(((S114-'포지션 정의'!$N$4)^2+(T114-'포지션 정의'!$O$4)^2+(U114-'포지션 정의'!$P$4)^2)/3)/'판정 기준'!$B$7),0)</f>
        <v>82</v>
      </c>
      <c r="AE114" s="24" t="n">
        <f aca="false">ROUND(100*(1-SQRT(((S114-'포지션 정의'!$N$5)^2+(T114-'포지션 정의'!$O$5)^2+(U114-'포지션 정의'!$P$5)^2)/3)/'판정 기준'!$B$7),0)</f>
        <v>74</v>
      </c>
      <c r="AF114" s="24" t="n">
        <f aca="false">ROUND(100*(1-SQRT(((S114-'포지션 정의'!$N$6)^2+(T114-'포지션 정의'!$O$6)^2+(U114-'포지션 정의'!$P$6)^2)/3)/'판정 기준'!$B$7),0)</f>
        <v>81</v>
      </c>
      <c r="AG114" s="24" t="n">
        <f aca="false">ROUND(100*(1-SQRT(((S114-'포지션 정의'!$N$7)^2+(T114-'포지션 정의'!$O$7)^2+(U114-'포지션 정의'!$P$7)^2)/3)/'판정 기준'!$B$7),0)</f>
        <v>79</v>
      </c>
      <c r="AH114" s="24" t="n">
        <f aca="false">ROUND(100*(1-SQRT(((S114-'포지션 정의'!$N$8)^2+(T114-'포지션 정의'!$O$8)^2+(U114-'포지션 정의'!$P$8)^2)/3)/'판정 기준'!$B$7),0)</f>
        <v>94</v>
      </c>
      <c r="AI114" s="24" t="n">
        <f aca="false">ROUND(100*(1-SQRT(((S114-'포지션 정의'!$N$9)^2+(T114-'포지션 정의'!$O$9)^2+(U114-'포지션 정의'!$P$9)^2)/3)/'판정 기준'!$B$7),0)</f>
        <v>73</v>
      </c>
      <c r="AJ114" s="23" t="str">
        <f aca="false">IF(G114&gt;='판정 기준'!$B$8,"경기긴장도, ","")&amp;IF(Q114&gt;='판정 기준'!$B$8,"사회적 도움 활용, ","")&amp;IF(K114&gt;='판정 기준'!$B$8,"경기 준비 능력, ","")&amp;IF(N114&gt;='판정 기준'!$B$8,"실수 후 회복력, ","")&amp;IF(P114&gt;='판정 기준'!$B$8,"자기 통제력, ","")</f>
        <v>사회적 도움 활용, </v>
      </c>
      <c r="AK114" s="23" t="n">
        <f aca="false">IF(AND(G114&lt;'판정 기준'!$B$8,OR(AJ114&lt;&gt;"",AP114&lt;&gt;"경기긴장도")),G114,0)</f>
        <v>3.9</v>
      </c>
      <c r="AL114" s="23" t="n">
        <f aca="false">IF(AND(Q114&lt;'판정 기준'!$B$8,OR(AJ114&lt;&gt;"",AP114&lt;&gt;"사회적 도움 활용")),Q114,0)</f>
        <v>0</v>
      </c>
      <c r="AM114" s="23" t="n">
        <f aca="false">IF(AND(K114&lt;'판정 기준'!$B$8,OR(AJ114&lt;&gt;"",AP114&lt;&gt;"경기 준비 능력")),K114,0)</f>
        <v>4.3</v>
      </c>
      <c r="AN114" s="23" t="n">
        <f aca="false">IF(AND(N114&lt;'판정 기준'!$B$8,OR(AJ114&lt;&gt;"",AP114&lt;&gt;"실수 후 회복력")),N114,0)</f>
        <v>3.4</v>
      </c>
      <c r="AO114" s="23" t="n">
        <f aca="false">IF(AND(P114&lt;'판정 기준'!$B$8,OR(AJ114&lt;&gt;"",AP114&lt;&gt;"자기 통제력")),P114,0)</f>
        <v>4.7</v>
      </c>
      <c r="AP114" s="23" t="str">
        <f aca="false">IF(Q114=MAX(G114,Q114,K114,N114,P114),"사회적 도움 활용",IF(P114=MAX(G114,Q114,K114,N114,P114),"자기 통제력",IF(G114=MAX(G114,Q114,K114,N114,P114),"경기긴장도",IF(K114=MAX(G114,Q114,K114,N114,P114),"경기 준비 능력","실수 후 회복력"))))</f>
        <v>사회적 도움 활용</v>
      </c>
    </row>
    <row r="115" customFormat="false" ht="17.15" hidden="false" customHeight="false" outlineLevel="0" collapsed="false">
      <c r="A115" s="13" t="s">
        <v>330</v>
      </c>
      <c r="B115" s="13" t="s">
        <v>187</v>
      </c>
      <c r="C115" s="13" t="s">
        <v>315</v>
      </c>
      <c r="D115" s="14" t="n">
        <v>46162</v>
      </c>
      <c r="E115" s="41" t="s">
        <v>198</v>
      </c>
      <c r="F115" s="42" t="n">
        <v>3.6</v>
      </c>
      <c r="G115" s="42" t="n">
        <v>3.6</v>
      </c>
      <c r="H115" s="42" t="n">
        <v>4.2</v>
      </c>
      <c r="I115" s="42" t="n">
        <v>3.4</v>
      </c>
      <c r="J115" s="42" t="n">
        <v>3.8</v>
      </c>
      <c r="K115" s="42" t="n">
        <v>4.1</v>
      </c>
      <c r="L115" s="42" t="n">
        <v>3.7</v>
      </c>
      <c r="M115" s="42" t="n">
        <v>4.4</v>
      </c>
      <c r="N115" s="42" t="n">
        <v>3.3</v>
      </c>
      <c r="O115" s="42" t="n">
        <v>3.8</v>
      </c>
      <c r="P115" s="42" t="n">
        <v>3.3</v>
      </c>
      <c r="Q115" s="42" t="n">
        <v>4.6</v>
      </c>
      <c r="R115" s="42" t="n">
        <v>4.3</v>
      </c>
      <c r="S115" s="37" t="n">
        <f aca="false">AVERAGE(G115:J115)</f>
        <v>3.75</v>
      </c>
      <c r="T115" s="37" t="n">
        <f aca="false">AVERAGE(K115:M115)</f>
        <v>4.06666666666667</v>
      </c>
      <c r="U115" s="37" t="n">
        <f aca="false">AVERAGE(N115:O115)</f>
        <v>3.55</v>
      </c>
      <c r="V115" s="23" t="str">
        <f aca="false">IF(S115&gt;='판정 기준'!$B$3,"H","L")&amp;IF(T115&gt;='판정 기준'!$B$3,"H","L")&amp;IF(U115&gt;='판정 기준'!$B$3,"H","L")</f>
        <v>LLL</v>
      </c>
      <c r="W115" s="36" t="str">
        <f aca="false">INDEX('포지션 정의'!$A$2:$A$9,MATCH(V115,'포지션 정의'!$D$2:$D$9,0))</f>
        <v>G</v>
      </c>
      <c r="X115" s="36" t="str">
        <f aca="false">INDEX('포지션 정의'!$B$2:$B$9,MATCH(V115,'포지션 정의'!$D$2:$D$9,0))</f>
        <v>스펀지 흡수형</v>
      </c>
      <c r="Y115" s="43" t="str">
        <f aca="false">IF(AJ115="","가장 높은 지표: "&amp;AP115,LEFT(AJ115,LEN(AJ115)-2))</f>
        <v>가장 높은 지표: 사회적 도움 활용</v>
      </c>
      <c r="Z115" s="43" t="str">
        <f aca="false">IF(MAX(AK115:AO115)=0,"심화: "&amp;IF(N115=MIN(G115,Q115,K115,N115,P115),"실수 후 회복력",IF(K115=MIN(G115,Q115,K115,N115,P115),"경기 준비 능력",IF(G115=MIN(G115,Q115,K115,N115,P115),"경기긴장도",IF(P115=MIN(G115,Q115,K115,N115,P115),"자기 통제력","사회적 도움 활용")))),IF(MAX(AK115:AO115)&gt;='판정 기준'!$B$8-'판정 기준'!$B$4,IF(AN115=MAX(AK115:AO115),"실수 후 회복력",IF(AM115=MAX(AK115:AO115),"경기 준비 능력",IF(AK115=MAX(AK115:AO115),"경기긴장도",IF(AO115=MAX(AK115:AO115),"자기 통제력","사회적 도움 활용")))),IF(AN115&gt;0,"실수 후 회복력",IF(AM115&gt;0,"경기 준비 능력",IF(AK115&gt;0,"경기긴장도",IF(AO115&gt;0,"자기 통제력","사회적 도움 활용"))))))</f>
        <v>실수 후 회복력</v>
      </c>
      <c r="AA115" s="43" t="str">
        <f aca="false">INDEX('포지션 정의'!$L$2:$L$9,MATCH(V115,'포지션 정의'!$D$2:$D$9,0))</f>
        <v>디디에 드로그바 · 앙투안 그리즈만 · 모하메드 살라</v>
      </c>
      <c r="AB115" s="24" t="n">
        <f aca="false">ROUND(100*(1-SQRT(((S115-'포지션 정의'!$N$2)^2+(T115-'포지션 정의'!$O$2)^2+(U115-'포지션 정의'!$P$2)^2)/3)/'판정 기준'!$B$7),0)</f>
        <v>87</v>
      </c>
      <c r="AC115" s="24" t="n">
        <f aca="false">ROUND(100*(1-SQRT(((S115-'포지션 정의'!$N$3)^2+(T115-'포지션 정의'!$O$3)^2+(U115-'포지션 정의'!$P$3)^2)/3)/'판정 기준'!$B$7),0)</f>
        <v>79</v>
      </c>
      <c r="AD115" s="24" t="n">
        <f aca="false">ROUND(100*(1-SQRT(((S115-'포지션 정의'!$N$4)^2+(T115-'포지션 정의'!$O$4)^2+(U115-'포지션 정의'!$P$4)^2)/3)/'판정 기준'!$B$7),0)</f>
        <v>83</v>
      </c>
      <c r="AE115" s="24" t="n">
        <f aca="false">ROUND(100*(1-SQRT(((S115-'포지션 정의'!$N$5)^2+(T115-'포지션 정의'!$O$5)^2+(U115-'포지션 정의'!$P$5)^2)/3)/'판정 기준'!$B$7),0)</f>
        <v>74</v>
      </c>
      <c r="AF115" s="24" t="n">
        <f aca="false">ROUND(100*(1-SQRT(((S115-'포지션 정의'!$N$6)^2+(T115-'포지션 정의'!$O$6)^2+(U115-'포지션 정의'!$P$6)^2)/3)/'판정 기준'!$B$7),0)</f>
        <v>81</v>
      </c>
      <c r="AG115" s="24" t="n">
        <f aca="false">ROUND(100*(1-SQRT(((S115-'포지션 정의'!$N$7)^2+(T115-'포지션 정의'!$O$7)^2+(U115-'포지션 정의'!$P$7)^2)/3)/'판정 기준'!$B$7),0)</f>
        <v>77</v>
      </c>
      <c r="AH115" s="24" t="n">
        <f aca="false">ROUND(100*(1-SQRT(((S115-'포지션 정의'!$N$8)^2+(T115-'포지션 정의'!$O$8)^2+(U115-'포지션 정의'!$P$8)^2)/3)/'판정 기준'!$B$7),0)</f>
        <v>96</v>
      </c>
      <c r="AI115" s="24" t="n">
        <f aca="false">ROUND(100*(1-SQRT(((S115-'포지션 정의'!$N$9)^2+(T115-'포지션 정의'!$O$9)^2+(U115-'포지션 정의'!$P$9)^2)/3)/'판정 기준'!$B$7),0)</f>
        <v>71</v>
      </c>
      <c r="AJ115" s="23" t="str">
        <f aca="false">IF(G115&gt;='판정 기준'!$B$8,"경기긴장도, ","")&amp;IF(Q115&gt;='판정 기준'!$B$8,"사회적 도움 활용, ","")&amp;IF(K115&gt;='판정 기준'!$B$8,"경기 준비 능력, ","")&amp;IF(N115&gt;='판정 기준'!$B$8,"실수 후 회복력, ","")&amp;IF(P115&gt;='판정 기준'!$B$8,"자기 통제력, ","")</f>
        <v/>
      </c>
      <c r="AK115" s="23" t="n">
        <f aca="false">IF(AND(G115&lt;'판정 기준'!$B$8,OR(AJ115&lt;&gt;"",AP115&lt;&gt;"경기긴장도")),G115,0)</f>
        <v>3.6</v>
      </c>
      <c r="AL115" s="23" t="n">
        <f aca="false">IF(AND(Q115&lt;'판정 기준'!$B$8,OR(AJ115&lt;&gt;"",AP115&lt;&gt;"사회적 도움 활용")),Q115,0)</f>
        <v>0</v>
      </c>
      <c r="AM115" s="23" t="n">
        <f aca="false">IF(AND(K115&lt;'판정 기준'!$B$8,OR(AJ115&lt;&gt;"",AP115&lt;&gt;"경기 준비 능력")),K115,0)</f>
        <v>4.1</v>
      </c>
      <c r="AN115" s="23" t="n">
        <f aca="false">IF(AND(N115&lt;'판정 기준'!$B$8,OR(AJ115&lt;&gt;"",AP115&lt;&gt;"실수 후 회복력")),N115,0)</f>
        <v>3.3</v>
      </c>
      <c r="AO115" s="23" t="n">
        <f aca="false">IF(AND(P115&lt;'판정 기준'!$B$8,OR(AJ115&lt;&gt;"",AP115&lt;&gt;"자기 통제력")),P115,0)</f>
        <v>3.3</v>
      </c>
      <c r="AP115" s="23" t="str">
        <f aca="false">IF(Q115=MAX(G115,Q115,K115,N115,P115),"사회적 도움 활용",IF(P115=MAX(G115,Q115,K115,N115,P115),"자기 통제력",IF(G115=MAX(G115,Q115,K115,N115,P115),"경기긴장도",IF(K115=MAX(G115,Q115,K115,N115,P115),"경기 준비 능력","실수 후 회복력"))))</f>
        <v>사회적 도움 활용</v>
      </c>
    </row>
    <row r="116" customFormat="false" ht="17.15" hidden="false" customHeight="false" outlineLevel="0" collapsed="false">
      <c r="A116" s="13" t="s">
        <v>331</v>
      </c>
      <c r="B116" s="13" t="s">
        <v>187</v>
      </c>
      <c r="C116" s="13" t="s">
        <v>312</v>
      </c>
      <c r="D116" s="14" t="n">
        <v>46162</v>
      </c>
      <c r="E116" s="41" t="s">
        <v>195</v>
      </c>
      <c r="F116" s="42" t="n">
        <v>4.9</v>
      </c>
      <c r="G116" s="42" t="n">
        <v>4.4</v>
      </c>
      <c r="H116" s="42" t="n">
        <v>4.2</v>
      </c>
      <c r="I116" s="42" t="n">
        <v>4.8</v>
      </c>
      <c r="J116" s="42" t="n">
        <v>4.3</v>
      </c>
      <c r="K116" s="42" t="n">
        <v>5.3</v>
      </c>
      <c r="L116" s="42" t="n">
        <v>5.3</v>
      </c>
      <c r="M116" s="42" t="n">
        <v>5.3</v>
      </c>
      <c r="N116" s="42" t="n">
        <v>5.1</v>
      </c>
      <c r="O116" s="42" t="n">
        <v>5.2</v>
      </c>
      <c r="P116" s="42" t="n">
        <v>4.7</v>
      </c>
      <c r="Q116" s="42" t="n">
        <v>5.2</v>
      </c>
      <c r="R116" s="42" t="n">
        <v>5.7</v>
      </c>
      <c r="S116" s="37" t="n">
        <f aca="false">AVERAGE(G116:J116)</f>
        <v>4.425</v>
      </c>
      <c r="T116" s="37" t="n">
        <f aca="false">AVERAGE(K116:M116)</f>
        <v>5.3</v>
      </c>
      <c r="U116" s="37" t="n">
        <f aca="false">AVERAGE(N116:O116)</f>
        <v>5.15</v>
      </c>
      <c r="V116" s="23" t="str">
        <f aca="false">IF(S116&gt;='판정 기준'!$B$3,"H","L")&amp;IF(T116&gt;='판정 기준'!$B$3,"H","L")&amp;IF(U116&gt;='판정 기준'!$B$3,"H","L")</f>
        <v>LHH</v>
      </c>
      <c r="W116" s="36" t="str">
        <f aca="false">INDEX('포지션 정의'!$A$2:$A$9,MATCH(V116,'포지션 정의'!$D$2:$D$9,0))</f>
        <v>F</v>
      </c>
      <c r="X116" s="36" t="str">
        <f aca="false">INDEX('포지션 정의'!$B$2:$B$9,MATCH(V116,'포지션 정의'!$D$2:$D$9,0))</f>
        <v>성실한 도전자형</v>
      </c>
      <c r="Y116" s="43" t="str">
        <f aca="false">IF(AJ116="","가장 높은 지표: "&amp;AP116,LEFT(AJ116,LEN(AJ116)-2))</f>
        <v>사회적 도움 활용, 경기 준비 능력, 실수 후 회복력</v>
      </c>
      <c r="Z116" s="43" t="str">
        <f aca="false">IF(MAX(AK116:AO116)=0,"심화: "&amp;IF(N116=MIN(G116,Q116,K116,N116,P116),"실수 후 회복력",IF(K116=MIN(G116,Q116,K116,N116,P116),"경기 준비 능력",IF(G116=MIN(G116,Q116,K116,N116,P116),"경기긴장도",IF(P116=MIN(G116,Q116,K116,N116,P116),"자기 통제력","사회적 도움 활용")))),IF(MAX(AK116:AO116)&gt;='판정 기준'!$B$8-'판정 기준'!$B$4,IF(AN116=MAX(AK116:AO116),"실수 후 회복력",IF(AM116=MAX(AK116:AO116),"경기 준비 능력",IF(AK116=MAX(AK116:AO116),"경기긴장도",IF(AO116=MAX(AK116:AO116),"자기 통제력","사회적 도움 활용")))),IF(AN116&gt;0,"실수 후 회복력",IF(AM116&gt;0,"경기 준비 능력",IF(AK116&gt;0,"경기긴장도",IF(AO116&gt;0,"자기 통제력","사회적 도움 활용"))))))</f>
        <v>자기 통제력</v>
      </c>
      <c r="AA116" s="43" t="str">
        <f aca="false">INDEX('포지션 정의'!$L$2:$L$9,MATCH(V116,'포지션 정의'!$D$2:$D$9,0))</f>
        <v>제이미 바디 · 은골로 캉테 · 박지성</v>
      </c>
      <c r="AB116" s="24" t="n">
        <f aca="false">ROUND(100*(1-SQRT(((S116-'포지션 정의'!$N$2)^2+(T116-'포지션 정의'!$O$2)^2+(U116-'포지션 정의'!$P$2)^2)/3)/'판정 기준'!$B$7),0)</f>
        <v>83</v>
      </c>
      <c r="AC116" s="24" t="n">
        <f aca="false">ROUND(100*(1-SQRT(((S116-'포지션 정의'!$N$3)^2+(T116-'포지션 정의'!$O$3)^2+(U116-'포지션 정의'!$P$3)^2)/3)/'판정 기준'!$B$7),0)</f>
        <v>82</v>
      </c>
      <c r="AD116" s="24" t="n">
        <f aca="false">ROUND(100*(1-SQRT(((S116-'포지션 정의'!$N$4)^2+(T116-'포지션 정의'!$O$4)^2+(U116-'포지션 정의'!$P$4)^2)/3)/'판정 기준'!$B$7),0)</f>
        <v>75</v>
      </c>
      <c r="AE116" s="24" t="n">
        <f aca="false">ROUND(100*(1-SQRT(((S116-'포지션 정의'!$N$5)^2+(T116-'포지션 정의'!$O$5)^2+(U116-'포지션 정의'!$P$5)^2)/3)/'판정 기준'!$B$7),0)</f>
        <v>80</v>
      </c>
      <c r="AF116" s="24" t="n">
        <f aca="false">ROUND(100*(1-SQRT(((S116-'포지션 정의'!$N$6)^2+(T116-'포지션 정의'!$O$6)^2+(U116-'포지션 정의'!$P$6)^2)/3)/'판정 기준'!$B$7),0)</f>
        <v>81</v>
      </c>
      <c r="AG116" s="24" t="n">
        <f aca="false">ROUND(100*(1-SQRT(((S116-'포지션 정의'!$N$7)^2+(T116-'포지션 정의'!$O$7)^2+(U116-'포지션 정의'!$P$7)^2)/3)/'판정 기준'!$B$7),0)</f>
        <v>93</v>
      </c>
      <c r="AH116" s="24" t="n">
        <f aca="false">ROUND(100*(1-SQRT(((S116-'포지션 정의'!$N$8)^2+(T116-'포지션 정의'!$O$8)^2+(U116-'포지션 정의'!$P$8)^2)/3)/'판정 기준'!$B$7),0)</f>
        <v>76</v>
      </c>
      <c r="AI116" s="24" t="n">
        <f aca="false">ROUND(100*(1-SQRT(((S116-'포지션 정의'!$N$9)^2+(T116-'포지션 정의'!$O$9)^2+(U116-'포지션 정의'!$P$9)^2)/3)/'판정 기준'!$B$7),0)</f>
        <v>91</v>
      </c>
      <c r="AJ116" s="23" t="str">
        <f aca="false">IF(G116&gt;='판정 기준'!$B$8,"경기긴장도, ","")&amp;IF(Q116&gt;='판정 기준'!$B$8,"사회적 도움 활용, ","")&amp;IF(K116&gt;='판정 기준'!$B$8,"경기 준비 능력, ","")&amp;IF(N116&gt;='판정 기준'!$B$8,"실수 후 회복력, ","")&amp;IF(P116&gt;='판정 기준'!$B$8,"자기 통제력, ","")</f>
        <v>사회적 도움 활용, 경기 준비 능력, 실수 후 회복력, </v>
      </c>
      <c r="AK116" s="23" t="n">
        <f aca="false">IF(AND(G116&lt;'판정 기준'!$B$8,OR(AJ116&lt;&gt;"",AP116&lt;&gt;"경기긴장도")),G116,0)</f>
        <v>4.4</v>
      </c>
      <c r="AL116" s="23" t="n">
        <f aca="false">IF(AND(Q116&lt;'판정 기준'!$B$8,OR(AJ116&lt;&gt;"",AP116&lt;&gt;"사회적 도움 활용")),Q116,0)</f>
        <v>0</v>
      </c>
      <c r="AM116" s="23" t="n">
        <f aca="false">IF(AND(K116&lt;'판정 기준'!$B$8,OR(AJ116&lt;&gt;"",AP116&lt;&gt;"경기 준비 능력")),K116,0)</f>
        <v>0</v>
      </c>
      <c r="AN116" s="23" t="n">
        <f aca="false">IF(AND(N116&lt;'판정 기준'!$B$8,OR(AJ116&lt;&gt;"",AP116&lt;&gt;"실수 후 회복력")),N116,0)</f>
        <v>0</v>
      </c>
      <c r="AO116" s="23" t="n">
        <f aca="false">IF(AND(P116&lt;'판정 기준'!$B$8,OR(AJ116&lt;&gt;"",AP116&lt;&gt;"자기 통제력")),P116,0)</f>
        <v>4.7</v>
      </c>
      <c r="AP116" s="23" t="str">
        <f aca="false">IF(Q116=MAX(G116,Q116,K116,N116,P116),"사회적 도움 활용",IF(P116=MAX(G116,Q116,K116,N116,P116),"자기 통제력",IF(G116=MAX(G116,Q116,K116,N116,P116),"경기긴장도",IF(K116=MAX(G116,Q116,K116,N116,P116),"경기 준비 능력","실수 후 회복력"))))</f>
        <v>경기 준비 능력</v>
      </c>
    </row>
    <row r="117" customFormat="false" ht="17.15" hidden="false" customHeight="false" outlineLevel="0" collapsed="false">
      <c r="A117" s="13" t="s">
        <v>332</v>
      </c>
      <c r="B117" s="13" t="s">
        <v>187</v>
      </c>
      <c r="C117" s="13" t="s">
        <v>312</v>
      </c>
      <c r="D117" s="14" t="n">
        <v>46162</v>
      </c>
      <c r="E117" s="41" t="s">
        <v>195</v>
      </c>
      <c r="F117" s="42" t="n">
        <v>4.4</v>
      </c>
      <c r="G117" s="42" t="n">
        <v>4.3</v>
      </c>
      <c r="H117" s="42" t="n">
        <v>4.5</v>
      </c>
      <c r="I117" s="42" t="n">
        <v>4.4</v>
      </c>
      <c r="J117" s="42" t="n">
        <v>4.2</v>
      </c>
      <c r="K117" s="42" t="n">
        <v>4.9</v>
      </c>
      <c r="L117" s="42" t="n">
        <v>4.3</v>
      </c>
      <c r="M117" s="42" t="n">
        <v>5.4</v>
      </c>
      <c r="N117" s="42" t="n">
        <v>4.4</v>
      </c>
      <c r="O117" s="42" t="n">
        <v>5</v>
      </c>
      <c r="P117" s="42" t="n">
        <v>3.7</v>
      </c>
      <c r="Q117" s="42" t="n">
        <v>4.6</v>
      </c>
      <c r="R117" s="42" t="n">
        <v>5</v>
      </c>
      <c r="S117" s="37" t="n">
        <f aca="false">AVERAGE(G117:J117)</f>
        <v>4.35</v>
      </c>
      <c r="T117" s="37" t="n">
        <f aca="false">AVERAGE(K117:M117)</f>
        <v>4.86666666666667</v>
      </c>
      <c r="U117" s="37" t="n">
        <f aca="false">AVERAGE(N117:O117)</f>
        <v>4.7</v>
      </c>
      <c r="V117" s="23" t="str">
        <f aca="false">IF(S117&gt;='판정 기준'!$B$3,"H","L")&amp;IF(T117&gt;='판정 기준'!$B$3,"H","L")&amp;IF(U117&gt;='판정 기준'!$B$3,"H","L")</f>
        <v>LHH</v>
      </c>
      <c r="W117" s="36" t="str">
        <f aca="false">INDEX('포지션 정의'!$A$2:$A$9,MATCH(V117,'포지션 정의'!$D$2:$D$9,0))</f>
        <v>F</v>
      </c>
      <c r="X117" s="36" t="str">
        <f aca="false">INDEX('포지션 정의'!$B$2:$B$9,MATCH(V117,'포지션 정의'!$D$2:$D$9,0))</f>
        <v>성실한 도전자형</v>
      </c>
      <c r="Y117" s="43" t="str">
        <f aca="false">IF(AJ117="","가장 높은 지표: "&amp;AP117,LEFT(AJ117,LEN(AJ117)-2))</f>
        <v>경기 준비 능력</v>
      </c>
      <c r="Z117" s="43" t="str">
        <f aca="false">IF(MAX(AK117:AO117)=0,"심화: "&amp;IF(N117=MIN(G117,Q117,K117,N117,P117),"실수 후 회복력",IF(K117=MIN(G117,Q117,K117,N117,P117),"경기 준비 능력",IF(G117=MIN(G117,Q117,K117,N117,P117),"경기긴장도",IF(P117=MIN(G117,Q117,K117,N117,P117),"자기 통제력","사회적 도움 활용")))),IF(MAX(AK117:AO117)&gt;='판정 기준'!$B$8-'판정 기준'!$B$4,IF(AN117=MAX(AK117:AO117),"실수 후 회복력",IF(AM117=MAX(AK117:AO117),"경기 준비 능력",IF(AK117=MAX(AK117:AO117),"경기긴장도",IF(AO117=MAX(AK117:AO117),"자기 통제력","사회적 도움 활용")))),IF(AN117&gt;0,"실수 후 회복력",IF(AM117&gt;0,"경기 준비 능력",IF(AK117&gt;0,"경기긴장도",IF(AO117&gt;0,"자기 통제력","사회적 도움 활용"))))))</f>
        <v>사회적 도움 활용</v>
      </c>
      <c r="AA117" s="43" t="str">
        <f aca="false">INDEX('포지션 정의'!$L$2:$L$9,MATCH(V117,'포지션 정의'!$D$2:$D$9,0))</f>
        <v>제이미 바디 · 은골로 캉테 · 박지성</v>
      </c>
      <c r="AB117" s="24" t="n">
        <f aca="false">ROUND(100*(1-SQRT(((S117-'포지션 정의'!$N$2)^2+(T117-'포지션 정의'!$O$2)^2+(U117-'포지션 정의'!$P$2)^2)/3)/'판정 기준'!$B$7),0)</f>
        <v>87</v>
      </c>
      <c r="AC117" s="24" t="n">
        <f aca="false">ROUND(100*(1-SQRT(((S117-'포지션 정의'!$N$3)^2+(T117-'포지션 정의'!$O$3)^2+(U117-'포지션 정의'!$P$3)^2)/3)/'판정 기준'!$B$7),0)</f>
        <v>85</v>
      </c>
      <c r="AD117" s="24" t="n">
        <f aca="false">ROUND(100*(1-SQRT(((S117-'포지션 정의'!$N$4)^2+(T117-'포지션 정의'!$O$4)^2+(U117-'포지션 정의'!$P$4)^2)/3)/'판정 기준'!$B$7),0)</f>
        <v>81</v>
      </c>
      <c r="AE117" s="24" t="n">
        <f aca="false">ROUND(100*(1-SQRT(((S117-'포지션 정의'!$N$5)^2+(T117-'포지션 정의'!$O$5)^2+(U117-'포지션 정의'!$P$5)^2)/3)/'판정 기준'!$B$7),0)</f>
        <v>83</v>
      </c>
      <c r="AF117" s="24" t="n">
        <f aca="false">ROUND(100*(1-SQRT(((S117-'포지션 정의'!$N$6)^2+(T117-'포지션 정의'!$O$6)^2+(U117-'포지션 정의'!$P$6)^2)/3)/'판정 기준'!$B$7),0)</f>
        <v>85</v>
      </c>
      <c r="AG117" s="24" t="n">
        <f aca="false">ROUND(100*(1-SQRT(((S117-'포지션 정의'!$N$7)^2+(T117-'포지션 정의'!$O$7)^2+(U117-'포지션 정의'!$P$7)^2)/3)/'판정 기준'!$B$7),0)</f>
        <v>91</v>
      </c>
      <c r="AH117" s="24" t="n">
        <f aca="false">ROUND(100*(1-SQRT(((S117-'포지션 정의'!$N$8)^2+(T117-'포지션 정의'!$O$8)^2+(U117-'포지션 정의'!$P$8)^2)/3)/'판정 기준'!$B$7),0)</f>
        <v>83</v>
      </c>
      <c r="AI117" s="24" t="n">
        <f aca="false">ROUND(100*(1-SQRT(((S117-'포지션 정의'!$N$9)^2+(T117-'포지션 정의'!$O$9)^2+(U117-'포지션 정의'!$P$9)^2)/3)/'판정 기준'!$B$7),0)</f>
        <v>88</v>
      </c>
      <c r="AJ117" s="23" t="str">
        <f aca="false">IF(G117&gt;='판정 기준'!$B$8,"경기긴장도, ","")&amp;IF(Q117&gt;='판정 기준'!$B$8,"사회적 도움 활용, ","")&amp;IF(K117&gt;='판정 기준'!$B$8,"경기 준비 능력, ","")&amp;IF(N117&gt;='판정 기준'!$B$8,"실수 후 회복력, ","")&amp;IF(P117&gt;='판정 기준'!$B$8,"자기 통제력, ","")</f>
        <v>경기 준비 능력, </v>
      </c>
      <c r="AK117" s="23" t="n">
        <f aca="false">IF(AND(G117&lt;'판정 기준'!$B$8,OR(AJ117&lt;&gt;"",AP117&lt;&gt;"경기긴장도")),G117,0)</f>
        <v>4.3</v>
      </c>
      <c r="AL117" s="23" t="n">
        <f aca="false">IF(AND(Q117&lt;'판정 기준'!$B$8,OR(AJ117&lt;&gt;"",AP117&lt;&gt;"사회적 도움 활용")),Q117,0)</f>
        <v>4.6</v>
      </c>
      <c r="AM117" s="23" t="n">
        <f aca="false">IF(AND(K117&lt;'판정 기준'!$B$8,OR(AJ117&lt;&gt;"",AP117&lt;&gt;"경기 준비 능력")),K117,0)</f>
        <v>0</v>
      </c>
      <c r="AN117" s="23" t="n">
        <f aca="false">IF(AND(N117&lt;'판정 기준'!$B$8,OR(AJ117&lt;&gt;"",AP117&lt;&gt;"실수 후 회복력")),N117,0)</f>
        <v>4.4</v>
      </c>
      <c r="AO117" s="23" t="n">
        <f aca="false">IF(AND(P117&lt;'판정 기준'!$B$8,OR(AJ117&lt;&gt;"",AP117&lt;&gt;"자기 통제력")),P117,0)</f>
        <v>3.7</v>
      </c>
      <c r="AP117" s="23" t="str">
        <f aca="false">IF(Q117=MAX(G117,Q117,K117,N117,P117),"사회적 도움 활용",IF(P117=MAX(G117,Q117,K117,N117,P117),"자기 통제력",IF(G117=MAX(G117,Q117,K117,N117,P117),"경기긴장도",IF(K117=MAX(G117,Q117,K117,N117,P117),"경기 준비 능력","실수 후 회복력"))))</f>
        <v>경기 준비 능력</v>
      </c>
    </row>
    <row r="118" customFormat="false" ht="17.15" hidden="false" customHeight="false" outlineLevel="0" collapsed="false">
      <c r="A118" s="13" t="s">
        <v>333</v>
      </c>
      <c r="B118" s="13" t="s">
        <v>187</v>
      </c>
      <c r="C118" s="13" t="s">
        <v>315</v>
      </c>
      <c r="D118" s="14" t="n">
        <v>46162</v>
      </c>
      <c r="E118" s="41" t="s">
        <v>195</v>
      </c>
      <c r="F118" s="42" t="n">
        <v>5.5</v>
      </c>
      <c r="G118" s="42" t="n">
        <v>5.4</v>
      </c>
      <c r="H118" s="42" t="n">
        <v>5.8</v>
      </c>
      <c r="I118" s="42" t="n">
        <v>5.4</v>
      </c>
      <c r="J118" s="42" t="n">
        <v>5.8</v>
      </c>
      <c r="K118" s="42" t="n">
        <v>5</v>
      </c>
      <c r="L118" s="42" t="n">
        <v>5.5</v>
      </c>
      <c r="M118" s="42" t="n">
        <v>4.6</v>
      </c>
      <c r="N118" s="42" t="n">
        <v>6</v>
      </c>
      <c r="O118" s="42" t="n">
        <v>5.2</v>
      </c>
      <c r="P118" s="42" t="n">
        <v>5.5</v>
      </c>
      <c r="Q118" s="42" t="n">
        <v>5.6</v>
      </c>
      <c r="R118" s="42" t="n">
        <v>6</v>
      </c>
      <c r="S118" s="37" t="n">
        <f aca="false">AVERAGE(G118:J118)</f>
        <v>5.6</v>
      </c>
      <c r="T118" s="37" t="n">
        <f aca="false">AVERAGE(K118:M118)</f>
        <v>5.03333333333333</v>
      </c>
      <c r="U118" s="37" t="n">
        <f aca="false">AVERAGE(N118:O118)</f>
        <v>5.6</v>
      </c>
      <c r="V118" s="23" t="str">
        <f aca="false">IF(S118&gt;='판정 기준'!$B$3,"H","L")&amp;IF(T118&gt;='판정 기준'!$B$3,"H","L")&amp;IF(U118&gt;='판정 기준'!$B$3,"H","L")</f>
        <v>HHH</v>
      </c>
      <c r="W118" s="36" t="str">
        <f aca="false">INDEX('포지션 정의'!$A$2:$A$9,MATCH(V118,'포지션 정의'!$D$2:$D$9,0))</f>
        <v>H</v>
      </c>
      <c r="X118" s="36" t="str">
        <f aca="false">INDEX('포지션 정의'!$B$2:$B$9,MATCH(V118,'포지션 정의'!$D$2:$D$9,0))</f>
        <v>올라운드 밸런스형</v>
      </c>
      <c r="Y118" s="43" t="str">
        <f aca="false">IF(AJ118="","가장 높은 지표: "&amp;AP118,LEFT(AJ118,LEN(AJ118)-2))</f>
        <v>경기긴장도, 사회적 도움 활용, 경기 준비 능력, 실수 후 회복력, 자기 통제력</v>
      </c>
      <c r="Z118" s="43" t="str">
        <f aca="false">IF(MAX(AK118:AO118)=0,"심화: "&amp;IF(N118=MIN(G118,Q118,K118,N118,P118),"실수 후 회복력",IF(K118=MIN(G118,Q118,K118,N118,P118),"경기 준비 능력",IF(G118=MIN(G118,Q118,K118,N118,P118),"경기긴장도",IF(P118=MIN(G118,Q118,K118,N118,P118),"자기 통제력","사회적 도움 활용")))),IF(MAX(AK118:AO118)&gt;='판정 기준'!$B$8-'판정 기준'!$B$4,IF(AN118=MAX(AK118:AO118),"실수 후 회복력",IF(AM118=MAX(AK118:AO118),"경기 준비 능력",IF(AK118=MAX(AK118:AO118),"경기긴장도",IF(AO118=MAX(AK118:AO118),"자기 통제력","사회적 도움 활용")))),IF(AN118&gt;0,"실수 후 회복력",IF(AM118&gt;0,"경기 준비 능력",IF(AK118&gt;0,"경기긴장도",IF(AO118&gt;0,"자기 통제력","사회적 도움 활용"))))))</f>
        <v>심화: 경기 준비 능력</v>
      </c>
      <c r="AA118" s="43" t="str">
        <f aca="false">INDEX('포지션 정의'!$L$2:$L$9,MATCH(V118,'포지션 정의'!$D$2:$D$9,0))</f>
        <v>크리스티아누 호날두 · 루카 모드리치 · 버질 반 다이크</v>
      </c>
      <c r="AB118" s="24" t="n">
        <f aca="false">ROUND(100*(1-SQRT(((S118-'포지션 정의'!$N$2)^2+(T118-'포지션 정의'!$O$2)^2+(U118-'포지션 정의'!$P$2)^2)/3)/'판정 기준'!$B$7),0)</f>
        <v>71</v>
      </c>
      <c r="AC118" s="24" t="n">
        <f aca="false">ROUND(100*(1-SQRT(((S118-'포지션 정의'!$N$3)^2+(T118-'포지션 정의'!$O$3)^2+(U118-'포지션 정의'!$P$3)^2)/3)/'판정 기준'!$B$7),0)</f>
        <v>79</v>
      </c>
      <c r="AD118" s="24" t="n">
        <f aca="false">ROUND(100*(1-SQRT(((S118-'포지션 정의'!$N$4)^2+(T118-'포지션 정의'!$O$4)^2+(U118-'포지션 정의'!$P$4)^2)/3)/'판정 기준'!$B$7),0)</f>
        <v>74</v>
      </c>
      <c r="AE118" s="24" t="n">
        <f aca="false">ROUND(100*(1-SQRT(((S118-'포지션 정의'!$N$5)^2+(T118-'포지션 정의'!$O$5)^2+(U118-'포지션 정의'!$P$5)^2)/3)/'판정 기준'!$B$7),0)</f>
        <v>84</v>
      </c>
      <c r="AF118" s="24" t="n">
        <f aca="false">ROUND(100*(1-SQRT(((S118-'포지션 정의'!$N$6)^2+(T118-'포지션 정의'!$O$6)^2+(U118-'포지션 정의'!$P$6)^2)/3)/'판정 기준'!$B$7),0)</f>
        <v>74</v>
      </c>
      <c r="AG118" s="24" t="n">
        <f aca="false">ROUND(100*(1-SQRT(((S118-'포지션 정의'!$N$7)^2+(T118-'포지션 정의'!$O$7)^2+(U118-'포지션 정의'!$P$7)^2)/3)/'판정 기준'!$B$7),0)</f>
        <v>79</v>
      </c>
      <c r="AH118" s="24" t="n">
        <f aca="false">ROUND(100*(1-SQRT(((S118-'포지션 정의'!$N$8)^2+(T118-'포지션 정의'!$O$8)^2+(U118-'포지션 정의'!$P$8)^2)/3)/'판정 기준'!$B$7),0)</f>
        <v>67</v>
      </c>
      <c r="AI118" s="24" t="n">
        <f aca="false">ROUND(100*(1-SQRT(((S118-'포지션 정의'!$N$9)^2+(T118-'포지션 정의'!$O$9)^2+(U118-'포지션 정의'!$P$9)^2)/3)/'판정 기준'!$B$7),0)</f>
        <v>93</v>
      </c>
      <c r="AJ118" s="23" t="str">
        <f aca="false">IF(G118&gt;='판정 기준'!$B$8,"경기긴장도, ","")&amp;IF(Q118&gt;='판정 기준'!$B$8,"사회적 도움 활용, ","")&amp;IF(K118&gt;='판정 기준'!$B$8,"경기 준비 능력, ","")&amp;IF(N118&gt;='판정 기준'!$B$8,"실수 후 회복력, ","")&amp;IF(P118&gt;='판정 기준'!$B$8,"자기 통제력, ","")</f>
        <v>경기긴장도, 사회적 도움 활용, 경기 준비 능력, 실수 후 회복력, 자기 통제력, </v>
      </c>
      <c r="AK118" s="23" t="n">
        <f aca="false">IF(AND(G118&lt;'판정 기준'!$B$8,OR(AJ118&lt;&gt;"",AP118&lt;&gt;"경기긴장도")),G118,0)</f>
        <v>0</v>
      </c>
      <c r="AL118" s="23" t="n">
        <f aca="false">IF(AND(Q118&lt;'판정 기준'!$B$8,OR(AJ118&lt;&gt;"",AP118&lt;&gt;"사회적 도움 활용")),Q118,0)</f>
        <v>0</v>
      </c>
      <c r="AM118" s="23" t="n">
        <f aca="false">IF(AND(K118&lt;'판정 기준'!$B$8,OR(AJ118&lt;&gt;"",AP118&lt;&gt;"경기 준비 능력")),K118,0)</f>
        <v>0</v>
      </c>
      <c r="AN118" s="23" t="n">
        <f aca="false">IF(AND(N118&lt;'판정 기준'!$B$8,OR(AJ118&lt;&gt;"",AP118&lt;&gt;"실수 후 회복력")),N118,0)</f>
        <v>0</v>
      </c>
      <c r="AO118" s="23" t="n">
        <f aca="false">IF(AND(P118&lt;'판정 기준'!$B$8,OR(AJ118&lt;&gt;"",AP118&lt;&gt;"자기 통제력")),P118,0)</f>
        <v>0</v>
      </c>
      <c r="AP118" s="23" t="str">
        <f aca="false">IF(Q118=MAX(G118,Q118,K118,N118,P118),"사회적 도움 활용",IF(P118=MAX(G118,Q118,K118,N118,P118),"자기 통제력",IF(G118=MAX(G118,Q118,K118,N118,P118),"경기긴장도",IF(K118=MAX(G118,Q118,K118,N118,P118),"경기 준비 능력","실수 후 회복력"))))</f>
        <v>실수 후 회복력</v>
      </c>
    </row>
    <row r="119" customFormat="false" ht="17.15" hidden="false" customHeight="false" outlineLevel="0" collapsed="false">
      <c r="A119" s="13" t="s">
        <v>334</v>
      </c>
      <c r="B119" s="13" t="s">
        <v>187</v>
      </c>
      <c r="C119" s="13" t="s">
        <v>335</v>
      </c>
      <c r="D119" s="14" t="n">
        <v>46161</v>
      </c>
      <c r="E119" s="41" t="s">
        <v>198</v>
      </c>
      <c r="F119" s="42" t="n">
        <v>3.7</v>
      </c>
      <c r="G119" s="42" t="n">
        <v>3.5</v>
      </c>
      <c r="H119" s="42" t="n">
        <v>2.8</v>
      </c>
      <c r="I119" s="42" t="n">
        <v>5.2</v>
      </c>
      <c r="J119" s="42" t="n">
        <v>2.8</v>
      </c>
      <c r="K119" s="42" t="n">
        <v>4.7</v>
      </c>
      <c r="L119" s="42" t="n">
        <v>4.3</v>
      </c>
      <c r="M119" s="42" t="n">
        <v>5</v>
      </c>
      <c r="N119" s="42" t="n">
        <v>3</v>
      </c>
      <c r="O119" s="42" t="n">
        <v>3.2</v>
      </c>
      <c r="P119" s="42" t="n">
        <v>3.8</v>
      </c>
      <c r="Q119" s="42" t="n">
        <v>4</v>
      </c>
      <c r="R119" s="42" t="n">
        <v>5.7</v>
      </c>
      <c r="S119" s="37" t="n">
        <f aca="false">AVERAGE(G119:J119)</f>
        <v>3.575</v>
      </c>
      <c r="T119" s="37" t="n">
        <f aca="false">AVERAGE(K119:M119)</f>
        <v>4.66666666666667</v>
      </c>
      <c r="U119" s="37" t="n">
        <f aca="false">AVERAGE(N119:O119)</f>
        <v>3.1</v>
      </c>
      <c r="V119" s="23" t="str">
        <f aca="false">IF(S119&gt;='판정 기준'!$B$3,"H","L")&amp;IF(T119&gt;='판정 기준'!$B$3,"H","L")&amp;IF(U119&gt;='판정 기준'!$B$3,"H","L")</f>
        <v>LHL</v>
      </c>
      <c r="W119" s="36" t="str">
        <f aca="false">INDEX('포지션 정의'!$A$2:$A$9,MATCH(V119,'포지션 정의'!$D$2:$D$9,0))</f>
        <v>A</v>
      </c>
      <c r="X119" s="36" t="str">
        <f aca="false">INDEX('포지션 정의'!$B$2:$B$9,MATCH(V119,'포지션 정의'!$D$2:$D$9,0))</f>
        <v>섬세한 준비형</v>
      </c>
      <c r="Y119" s="43" t="str">
        <f aca="false">IF(AJ119="","가장 높은 지표: "&amp;AP119,LEFT(AJ119,LEN(AJ119)-2))</f>
        <v>가장 높은 지표: 경기 준비 능력</v>
      </c>
      <c r="Z119" s="43" t="str">
        <f aca="false">IF(MAX(AK119:AO119)=0,"심화: "&amp;IF(N119=MIN(G119,Q119,K119,N119,P119),"실수 후 회복력",IF(K119=MIN(G119,Q119,K119,N119,P119),"경기 준비 능력",IF(G119=MIN(G119,Q119,K119,N119,P119),"경기긴장도",IF(P119=MIN(G119,Q119,K119,N119,P119),"자기 통제력","사회적 도움 활용")))),IF(MAX(AK119:AO119)&gt;='판정 기준'!$B$8-'판정 기준'!$B$4,IF(AN119=MAX(AK119:AO119),"실수 후 회복력",IF(AM119=MAX(AK119:AO119),"경기 준비 능력",IF(AK119=MAX(AK119:AO119),"경기긴장도",IF(AO119=MAX(AK119:AO119),"자기 통제력","사회적 도움 활용")))),IF(AN119&gt;0,"실수 후 회복력",IF(AM119&gt;0,"경기 준비 능력",IF(AK119&gt;0,"경기긴장도",IF(AO119&gt;0,"자기 통제력","사회적 도움 활용"))))))</f>
        <v>실수 후 회복력</v>
      </c>
      <c r="AA119" s="43" t="str">
        <f aca="false">INDEX('포지션 정의'!$L$2:$L$9,MATCH(V119,'포지션 정의'!$D$2:$D$9,0))</f>
        <v>로베르트 레반도프스키 · 제임스 밀너 · 마르틴 외데고르</v>
      </c>
      <c r="AB119" s="24" t="n">
        <f aca="false">ROUND(100*(1-SQRT(((S119-'포지션 정의'!$N$2)^2+(T119-'포지션 정의'!$O$2)^2+(U119-'포지션 정의'!$P$2)^2)/3)/'판정 기준'!$B$7),0)</f>
        <v>90</v>
      </c>
      <c r="AC119" s="24" t="n">
        <f aca="false">ROUND(100*(1-SQRT(((S119-'포지션 정의'!$N$3)^2+(T119-'포지션 정의'!$O$3)^2+(U119-'포지션 정의'!$P$3)^2)/3)/'판정 기준'!$B$7),0)</f>
        <v>79</v>
      </c>
      <c r="AD119" s="24" t="n">
        <f aca="false">ROUND(100*(1-SQRT(((S119-'포지션 정의'!$N$4)^2+(T119-'포지션 정의'!$O$4)^2+(U119-'포지션 정의'!$P$4)^2)/3)/'판정 기준'!$B$7),0)</f>
        <v>77</v>
      </c>
      <c r="AE119" s="24" t="n">
        <f aca="false">ROUND(100*(1-SQRT(((S119-'포지션 정의'!$N$5)^2+(T119-'포지션 정의'!$O$5)^2+(U119-'포지션 정의'!$P$5)^2)/3)/'판정 기준'!$B$7),0)</f>
        <v>68</v>
      </c>
      <c r="AF119" s="24" t="n">
        <f aca="false">ROUND(100*(1-SQRT(((S119-'포지션 정의'!$N$6)^2+(T119-'포지션 정의'!$O$6)^2+(U119-'포지션 정의'!$P$6)^2)/3)/'판정 기준'!$B$7),0)</f>
        <v>74</v>
      </c>
      <c r="AG119" s="24" t="n">
        <f aca="false">ROUND(100*(1-SQRT(((S119-'포지션 정의'!$N$7)^2+(T119-'포지션 정의'!$O$7)^2+(U119-'포지션 정의'!$P$7)^2)/3)/'판정 기준'!$B$7),0)</f>
        <v>75</v>
      </c>
      <c r="AH119" s="24" t="n">
        <f aca="false">ROUND(100*(1-SQRT(((S119-'포지션 정의'!$N$8)^2+(T119-'포지션 정의'!$O$8)^2+(U119-'포지션 정의'!$P$8)^2)/3)/'판정 기준'!$B$7),0)</f>
        <v>87</v>
      </c>
      <c r="AI119" s="24" t="n">
        <f aca="false">ROUND(100*(1-SQRT(((S119-'포지션 정의'!$N$9)^2+(T119-'포지션 정의'!$O$9)^2+(U119-'포지션 정의'!$P$9)^2)/3)/'판정 기준'!$B$7),0)</f>
        <v>69</v>
      </c>
      <c r="AJ119" s="23" t="str">
        <f aca="false">IF(G119&gt;='판정 기준'!$B$8,"경기긴장도, ","")&amp;IF(Q119&gt;='판정 기준'!$B$8,"사회적 도움 활용, ","")&amp;IF(K119&gt;='판정 기준'!$B$8,"경기 준비 능력, ","")&amp;IF(N119&gt;='판정 기준'!$B$8,"실수 후 회복력, ","")&amp;IF(P119&gt;='판정 기준'!$B$8,"자기 통제력, ","")</f>
        <v/>
      </c>
      <c r="AK119" s="23" t="n">
        <f aca="false">IF(AND(G119&lt;'판정 기준'!$B$8,OR(AJ119&lt;&gt;"",AP119&lt;&gt;"경기긴장도")),G119,0)</f>
        <v>3.5</v>
      </c>
      <c r="AL119" s="23" t="n">
        <f aca="false">IF(AND(Q119&lt;'판정 기준'!$B$8,OR(AJ119&lt;&gt;"",AP119&lt;&gt;"사회적 도움 활용")),Q119,0)</f>
        <v>4</v>
      </c>
      <c r="AM119" s="23" t="n">
        <f aca="false">IF(AND(K119&lt;'판정 기준'!$B$8,OR(AJ119&lt;&gt;"",AP119&lt;&gt;"경기 준비 능력")),K119,0)</f>
        <v>0</v>
      </c>
      <c r="AN119" s="23" t="n">
        <f aca="false">IF(AND(N119&lt;'판정 기준'!$B$8,OR(AJ119&lt;&gt;"",AP119&lt;&gt;"실수 후 회복력")),N119,0)</f>
        <v>3</v>
      </c>
      <c r="AO119" s="23" t="n">
        <f aca="false">IF(AND(P119&lt;'판정 기준'!$B$8,OR(AJ119&lt;&gt;"",AP119&lt;&gt;"자기 통제력")),P119,0)</f>
        <v>3.8</v>
      </c>
      <c r="AP119" s="23" t="str">
        <f aca="false">IF(Q119=MAX(G119,Q119,K119,N119,P119),"사회적 도움 활용",IF(P119=MAX(G119,Q119,K119,N119,P119),"자기 통제력",IF(G119=MAX(G119,Q119,K119,N119,P119),"경기긴장도",IF(K119=MAX(G119,Q119,K119,N119,P119),"경기 준비 능력","실수 후 회복력"))))</f>
        <v>경기 준비 능력</v>
      </c>
    </row>
    <row r="120" customFormat="false" ht="17.15" hidden="false" customHeight="false" outlineLevel="0" collapsed="false">
      <c r="A120" s="13" t="s">
        <v>336</v>
      </c>
      <c r="B120" s="13" t="s">
        <v>187</v>
      </c>
      <c r="C120" s="13" t="s">
        <v>335</v>
      </c>
      <c r="D120" s="14" t="n">
        <v>46161</v>
      </c>
      <c r="E120" s="41" t="s">
        <v>193</v>
      </c>
      <c r="F120" s="42" t="n">
        <v>4.3</v>
      </c>
      <c r="G120" s="42" t="n">
        <v>4.8</v>
      </c>
      <c r="H120" s="42" t="n">
        <v>4.5</v>
      </c>
      <c r="I120" s="42" t="n">
        <v>5.4</v>
      </c>
      <c r="J120" s="42" t="n">
        <v>4.5</v>
      </c>
      <c r="K120" s="42" t="n">
        <v>4.2</v>
      </c>
      <c r="L120" s="42" t="n">
        <v>4.3</v>
      </c>
      <c r="M120" s="42" t="n">
        <v>4.1</v>
      </c>
      <c r="N120" s="42" t="n">
        <v>3.7</v>
      </c>
      <c r="O120" s="42" t="n">
        <v>4.8</v>
      </c>
      <c r="P120" s="42" t="n">
        <v>4.7</v>
      </c>
      <c r="Q120" s="42" t="n">
        <v>5.2</v>
      </c>
      <c r="R120" s="42" t="n">
        <v>4.7</v>
      </c>
      <c r="S120" s="37" t="n">
        <f aca="false">AVERAGE(G120:J120)</f>
        <v>4.8</v>
      </c>
      <c r="T120" s="37" t="n">
        <f aca="false">AVERAGE(K120:M120)</f>
        <v>4.2</v>
      </c>
      <c r="U120" s="37" t="n">
        <f aca="false">AVERAGE(N120:O120)</f>
        <v>4.25</v>
      </c>
      <c r="V120" s="23" t="str">
        <f aca="false">IF(S120&gt;='판정 기준'!$B$3,"H","L")&amp;IF(T120&gt;='판정 기준'!$B$3,"H","L")&amp;IF(U120&gt;='판정 기준'!$B$3,"H","L")</f>
        <v>HLL</v>
      </c>
      <c r="W120" s="36" t="str">
        <f aca="false">INDEX('포지션 정의'!$A$2:$A$9,MATCH(V120,'포지션 정의'!$D$2:$D$9,0))</f>
        <v>C</v>
      </c>
      <c r="X120" s="36" t="str">
        <f aca="false">INDEX('포지션 정의'!$B$2:$B$9,MATCH(V120,'포지션 정의'!$D$2:$D$9,0))</f>
        <v>침착한 감각형</v>
      </c>
      <c r="Y120" s="43" t="str">
        <f aca="false">IF(AJ120="","가장 높은 지표: "&amp;AP120,LEFT(AJ120,LEN(AJ120)-2))</f>
        <v>경기긴장도, 사회적 도움 활용</v>
      </c>
      <c r="Z120" s="43" t="str">
        <f aca="false">IF(MAX(AK120:AO120)=0,"심화: "&amp;IF(N120=MIN(G120,Q120,K120,N120,P120),"실수 후 회복력",IF(K120=MIN(G120,Q120,K120,N120,P120),"경기 준비 능력",IF(G120=MIN(G120,Q120,K120,N120,P120),"경기긴장도",IF(P120=MIN(G120,Q120,K120,N120,P120),"자기 통제력","사회적 도움 활용")))),IF(MAX(AK120:AO120)&gt;='판정 기준'!$B$8-'판정 기준'!$B$4,IF(AN120=MAX(AK120:AO120),"실수 후 회복력",IF(AM120=MAX(AK120:AO120),"경기 준비 능력",IF(AK120=MAX(AK120:AO120),"경기긴장도",IF(AO120=MAX(AK120:AO120),"자기 통제력","사회적 도움 활용")))),IF(AN120&gt;0,"실수 후 회복력",IF(AM120&gt;0,"경기 준비 능력",IF(AK120&gt;0,"경기긴장도",IF(AO120&gt;0,"자기 통제력","사회적 도움 활용"))))))</f>
        <v>자기 통제력</v>
      </c>
      <c r="AA120" s="43" t="str">
        <f aca="false">INDEX('포지션 정의'!$L$2:$L$9,MATCH(V120,'포지션 정의'!$D$2:$D$9,0))</f>
        <v>안드레아 피를로 · 디미타르 베르바토프 · 메수트 외질</v>
      </c>
      <c r="AB120" s="24" t="n">
        <f aca="false">ROUND(100*(1-SQRT(((S120-'포지션 정의'!$N$2)^2+(T120-'포지션 정의'!$O$2)^2+(U120-'포지션 정의'!$P$2)^2)/3)/'판정 기준'!$B$7),0)</f>
        <v>83</v>
      </c>
      <c r="AC120" s="24" t="n">
        <f aca="false">ROUND(100*(1-SQRT(((S120-'포지션 정의'!$N$3)^2+(T120-'포지션 정의'!$O$3)^2+(U120-'포지션 정의'!$P$3)^2)/3)/'판정 기준'!$B$7),0)</f>
        <v>87</v>
      </c>
      <c r="AD120" s="24" t="n">
        <f aca="false">ROUND(100*(1-SQRT(((S120-'포지션 정의'!$N$4)^2+(T120-'포지션 정의'!$O$4)^2+(U120-'포지션 정의'!$P$4)^2)/3)/'판정 기준'!$B$7),0)</f>
        <v>92</v>
      </c>
      <c r="AE120" s="24" t="n">
        <f aca="false">ROUND(100*(1-SQRT(((S120-'포지션 정의'!$N$5)^2+(T120-'포지션 정의'!$O$5)^2+(U120-'포지션 정의'!$P$5)^2)/3)/'판정 기준'!$B$7),0)</f>
        <v>87</v>
      </c>
      <c r="AF120" s="24" t="n">
        <f aca="false">ROUND(100*(1-SQRT(((S120-'포지션 정의'!$N$6)^2+(T120-'포지션 정의'!$O$6)^2+(U120-'포지션 정의'!$P$6)^2)/3)/'판정 기준'!$B$7),0)</f>
        <v>83</v>
      </c>
      <c r="AG120" s="24" t="n">
        <f aca="false">ROUND(100*(1-SQRT(((S120-'포지션 정의'!$N$7)^2+(T120-'포지션 정의'!$O$7)^2+(U120-'포지션 정의'!$P$7)^2)/3)/'판정 기준'!$B$7),0)</f>
        <v>80</v>
      </c>
      <c r="AH120" s="24" t="n">
        <f aca="false">ROUND(100*(1-SQRT(((S120-'포지션 정의'!$N$8)^2+(T120-'포지션 정의'!$O$8)^2+(U120-'포지션 정의'!$P$8)^2)/3)/'판정 기준'!$B$7),0)</f>
        <v>87</v>
      </c>
      <c r="AI120" s="24" t="n">
        <f aca="false">ROUND(100*(1-SQRT(((S120-'포지션 정의'!$N$9)^2+(T120-'포지션 정의'!$O$9)^2+(U120-'포지션 정의'!$P$9)^2)/3)/'판정 기준'!$B$7),0)</f>
        <v>83</v>
      </c>
      <c r="AJ120" s="23" t="str">
        <f aca="false">IF(G120&gt;='판정 기준'!$B$8,"경기긴장도, ","")&amp;IF(Q120&gt;='판정 기준'!$B$8,"사회적 도움 활용, ","")&amp;IF(K120&gt;='판정 기준'!$B$8,"경기 준비 능력, ","")&amp;IF(N120&gt;='판정 기준'!$B$8,"실수 후 회복력, ","")&amp;IF(P120&gt;='판정 기준'!$B$8,"자기 통제력, ","")</f>
        <v>경기긴장도, 사회적 도움 활용, </v>
      </c>
      <c r="AK120" s="23" t="n">
        <f aca="false">IF(AND(G120&lt;'판정 기준'!$B$8,OR(AJ120&lt;&gt;"",AP120&lt;&gt;"경기긴장도")),G120,0)</f>
        <v>0</v>
      </c>
      <c r="AL120" s="23" t="n">
        <f aca="false">IF(AND(Q120&lt;'판정 기준'!$B$8,OR(AJ120&lt;&gt;"",AP120&lt;&gt;"사회적 도움 활용")),Q120,0)</f>
        <v>0</v>
      </c>
      <c r="AM120" s="23" t="n">
        <f aca="false">IF(AND(K120&lt;'판정 기준'!$B$8,OR(AJ120&lt;&gt;"",AP120&lt;&gt;"경기 준비 능력")),K120,0)</f>
        <v>4.2</v>
      </c>
      <c r="AN120" s="23" t="n">
        <f aca="false">IF(AND(N120&lt;'판정 기준'!$B$8,OR(AJ120&lt;&gt;"",AP120&lt;&gt;"실수 후 회복력")),N120,0)</f>
        <v>3.7</v>
      </c>
      <c r="AO120" s="23" t="n">
        <f aca="false">IF(AND(P120&lt;'판정 기준'!$B$8,OR(AJ120&lt;&gt;"",AP120&lt;&gt;"자기 통제력")),P120,0)</f>
        <v>4.7</v>
      </c>
      <c r="AP120" s="23" t="str">
        <f aca="false">IF(Q120=MAX(G120,Q120,K120,N120,P120),"사회적 도움 활용",IF(P120=MAX(G120,Q120,K120,N120,P120),"자기 통제력",IF(G120=MAX(G120,Q120,K120,N120,P120),"경기긴장도",IF(K120=MAX(G120,Q120,K120,N120,P120),"경기 준비 능력","실수 후 회복력"))))</f>
        <v>사회적 도움 활용</v>
      </c>
    </row>
    <row r="121" customFormat="false" ht="17.15" hidden="false" customHeight="false" outlineLevel="0" collapsed="false">
      <c r="A121" s="13" t="s">
        <v>337</v>
      </c>
      <c r="B121" s="13" t="s">
        <v>187</v>
      </c>
      <c r="C121" s="41" t="s">
        <v>338</v>
      </c>
      <c r="D121" s="14" t="n">
        <v>46155</v>
      </c>
      <c r="E121" s="41" t="s">
        <v>195</v>
      </c>
      <c r="F121" s="42" t="n">
        <v>3.7</v>
      </c>
      <c r="G121" s="42" t="n">
        <v>3.5</v>
      </c>
      <c r="H121" s="42" t="n">
        <v>3.5</v>
      </c>
      <c r="I121" s="42" t="n">
        <v>3.2</v>
      </c>
      <c r="J121" s="42" t="n">
        <v>3.8</v>
      </c>
      <c r="K121" s="42" t="n">
        <v>3.3</v>
      </c>
      <c r="L121" s="42" t="n">
        <v>3.3</v>
      </c>
      <c r="M121" s="42" t="n">
        <v>3.3</v>
      </c>
      <c r="N121" s="42" t="n">
        <v>4.3</v>
      </c>
      <c r="O121" s="42" t="n">
        <v>4.3</v>
      </c>
      <c r="P121" s="42" t="n">
        <v>3.7</v>
      </c>
      <c r="Q121" s="42" t="n">
        <v>4.4</v>
      </c>
      <c r="R121" s="42" t="n">
        <v>5.3</v>
      </c>
      <c r="S121" s="37" t="n">
        <f aca="false">AVERAGE(G121:J121)</f>
        <v>3.5</v>
      </c>
      <c r="T121" s="37" t="n">
        <f aca="false">AVERAGE(K121:M121)</f>
        <v>3.3</v>
      </c>
      <c r="U121" s="37" t="n">
        <f aca="false">AVERAGE(N121:O121)</f>
        <v>4.3</v>
      </c>
      <c r="V121" s="23" t="str">
        <f aca="false">IF(S121&gt;='판정 기준'!$B$3,"H","L")&amp;IF(T121&gt;='판정 기준'!$B$3,"H","L")&amp;IF(U121&gt;='판정 기준'!$B$3,"H","L")</f>
        <v>LLL</v>
      </c>
      <c r="W121" s="36" t="str">
        <f aca="false">INDEX('포지션 정의'!$A$2:$A$9,MATCH(V121,'포지션 정의'!$D$2:$D$9,0))</f>
        <v>G</v>
      </c>
      <c r="X121" s="36" t="str">
        <f aca="false">INDEX('포지션 정의'!$B$2:$B$9,MATCH(V121,'포지션 정의'!$D$2:$D$9,0))</f>
        <v>스펀지 흡수형</v>
      </c>
      <c r="Y121" s="43" t="str">
        <f aca="false">IF(AJ121="","가장 높은 지표: "&amp;AP121,LEFT(AJ121,LEN(AJ121)-2))</f>
        <v>가장 높은 지표: 사회적 도움 활용</v>
      </c>
      <c r="Z121" s="43" t="str">
        <f aca="false">IF(MAX(AK121:AO121)=0,"심화: "&amp;IF(N121=MIN(G121,Q121,K121,N121,P121),"실수 후 회복력",IF(K121=MIN(G121,Q121,K121,N121,P121),"경기 준비 능력",IF(G121=MIN(G121,Q121,K121,N121,P121),"경기긴장도",IF(P121=MIN(G121,Q121,K121,N121,P121),"자기 통제력","사회적 도움 활용")))),IF(MAX(AK121:AO121)&gt;='판정 기준'!$B$8-'판정 기준'!$B$4,IF(AN121=MAX(AK121:AO121),"실수 후 회복력",IF(AM121=MAX(AK121:AO121),"경기 준비 능력",IF(AK121=MAX(AK121:AO121),"경기긴장도",IF(AO121=MAX(AK121:AO121),"자기 통제력","사회적 도움 활용")))),IF(AN121&gt;0,"실수 후 회복력",IF(AM121&gt;0,"경기 준비 능력",IF(AK121&gt;0,"경기긴장도",IF(AO121&gt;0,"자기 통제력","사회적 도움 활용"))))))</f>
        <v>실수 후 회복력</v>
      </c>
      <c r="AA121" s="43" t="str">
        <f aca="false">INDEX('포지션 정의'!$L$2:$L$9,MATCH(V121,'포지션 정의'!$D$2:$D$9,0))</f>
        <v>디디에 드로그바 · 앙투안 그리즈만 · 모하메드 살라</v>
      </c>
      <c r="AB121" s="24" t="n">
        <f aca="false">ROUND(100*(1-SQRT(((S121-'포지션 정의'!$N$2)^2+(T121-'포지션 정의'!$O$2)^2+(U121-'포지션 정의'!$P$2)^2)/3)/'판정 기준'!$B$7),0)</f>
        <v>77</v>
      </c>
      <c r="AC121" s="24" t="n">
        <f aca="false">ROUND(100*(1-SQRT(((S121-'포지션 정의'!$N$3)^2+(T121-'포지션 정의'!$O$3)^2+(U121-'포지션 정의'!$P$3)^2)/3)/'판정 기준'!$B$7),0)</f>
        <v>70</v>
      </c>
      <c r="AD121" s="24" t="n">
        <f aca="false">ROUND(100*(1-SQRT(((S121-'포지션 정의'!$N$4)^2+(T121-'포지션 정의'!$O$4)^2+(U121-'포지션 정의'!$P$4)^2)/3)/'판정 기준'!$B$7),0)</f>
        <v>79</v>
      </c>
      <c r="AE121" s="24" t="n">
        <f aca="false">ROUND(100*(1-SQRT(((S121-'포지션 정의'!$N$5)^2+(T121-'포지션 정의'!$O$5)^2+(U121-'포지션 정의'!$P$5)^2)/3)/'판정 기준'!$B$7),0)</f>
        <v>77</v>
      </c>
      <c r="AF121" s="24" t="n">
        <f aca="false">ROUND(100*(1-SQRT(((S121-'포지션 정의'!$N$6)^2+(T121-'포지션 정의'!$O$6)^2+(U121-'포지션 정의'!$P$6)^2)/3)/'판정 기준'!$B$7),0)</f>
        <v>88</v>
      </c>
      <c r="AG121" s="24" t="n">
        <f aca="false">ROUND(100*(1-SQRT(((S121-'포지션 정의'!$N$7)^2+(T121-'포지션 정의'!$O$7)^2+(U121-'포지션 정의'!$P$7)^2)/3)/'판정 기준'!$B$7),0)</f>
        <v>75</v>
      </c>
      <c r="AH121" s="24" t="n">
        <f aca="false">ROUND(100*(1-SQRT(((S121-'포지션 정의'!$N$8)^2+(T121-'포지션 정의'!$O$8)^2+(U121-'포지션 정의'!$P$8)^2)/3)/'판정 기준'!$B$7),0)</f>
        <v>91</v>
      </c>
      <c r="AI121" s="24" t="n">
        <f aca="false">ROUND(100*(1-SQRT(((S121-'포지션 정의'!$N$9)^2+(T121-'포지션 정의'!$O$9)^2+(U121-'포지션 정의'!$P$9)^2)/3)/'판정 기준'!$B$7),0)</f>
        <v>69</v>
      </c>
      <c r="AJ121" s="23" t="str">
        <f aca="false">IF(G121&gt;='판정 기준'!$B$8,"경기긴장도, ","")&amp;IF(Q121&gt;='판정 기준'!$B$8,"사회적 도움 활용, ","")&amp;IF(K121&gt;='판정 기준'!$B$8,"경기 준비 능력, ","")&amp;IF(N121&gt;='판정 기준'!$B$8,"실수 후 회복력, ","")&amp;IF(P121&gt;='판정 기준'!$B$8,"자기 통제력, ","")</f>
        <v/>
      </c>
      <c r="AK121" s="23" t="n">
        <f aca="false">IF(AND(G121&lt;'판정 기준'!$B$8,OR(AJ121&lt;&gt;"",AP121&lt;&gt;"경기긴장도")),G121,0)</f>
        <v>3.5</v>
      </c>
      <c r="AL121" s="23" t="n">
        <f aca="false">IF(AND(Q121&lt;'판정 기준'!$B$8,OR(AJ121&lt;&gt;"",AP121&lt;&gt;"사회적 도움 활용")),Q121,0)</f>
        <v>0</v>
      </c>
      <c r="AM121" s="23" t="n">
        <f aca="false">IF(AND(K121&lt;'판정 기준'!$B$8,OR(AJ121&lt;&gt;"",AP121&lt;&gt;"경기 준비 능력")),K121,0)</f>
        <v>3.3</v>
      </c>
      <c r="AN121" s="23" t="n">
        <f aca="false">IF(AND(N121&lt;'판정 기준'!$B$8,OR(AJ121&lt;&gt;"",AP121&lt;&gt;"실수 후 회복력")),N121,0)</f>
        <v>4.3</v>
      </c>
      <c r="AO121" s="23" t="n">
        <f aca="false">IF(AND(P121&lt;'판정 기준'!$B$8,OR(AJ121&lt;&gt;"",AP121&lt;&gt;"자기 통제력")),P121,0)</f>
        <v>3.7</v>
      </c>
      <c r="AP121" s="23" t="str">
        <f aca="false">IF(Q121=MAX(G121,Q121,K121,N121,P121),"사회적 도움 활용",IF(P121=MAX(G121,Q121,K121,N121,P121),"자기 통제력",IF(G121=MAX(G121,Q121,K121,N121,P121),"경기긴장도",IF(K121=MAX(G121,Q121,K121,N121,P121),"경기 준비 능력","실수 후 회복력"))))</f>
        <v>사회적 도움 활용</v>
      </c>
    </row>
    <row r="122" customFormat="false" ht="17.15" hidden="false" customHeight="false" outlineLevel="0" collapsed="false">
      <c r="A122" s="13" t="s">
        <v>339</v>
      </c>
      <c r="B122" s="13" t="s">
        <v>187</v>
      </c>
      <c r="C122" s="41" t="s">
        <v>338</v>
      </c>
      <c r="D122" s="14" t="n">
        <v>46155</v>
      </c>
      <c r="E122" s="41" t="s">
        <v>195</v>
      </c>
      <c r="F122" s="42" t="n">
        <v>5.2</v>
      </c>
      <c r="G122" s="42" t="n">
        <v>4.4</v>
      </c>
      <c r="H122" s="42" t="n">
        <v>4.7</v>
      </c>
      <c r="I122" s="42" t="n">
        <v>5</v>
      </c>
      <c r="J122" s="42" t="n">
        <v>4.2</v>
      </c>
      <c r="K122" s="42" t="n">
        <v>5.8</v>
      </c>
      <c r="L122" s="42" t="n">
        <v>5.7</v>
      </c>
      <c r="M122" s="42" t="n">
        <v>5.9</v>
      </c>
      <c r="N122" s="42" t="n">
        <v>5.4</v>
      </c>
      <c r="O122" s="42" t="n">
        <v>5</v>
      </c>
      <c r="P122" s="42" t="n">
        <v>5.3</v>
      </c>
      <c r="Q122" s="42" t="n">
        <v>5.6</v>
      </c>
      <c r="R122" s="42" t="n">
        <v>6</v>
      </c>
      <c r="S122" s="37" t="n">
        <f aca="false">AVERAGE(G122:J122)</f>
        <v>4.575</v>
      </c>
      <c r="T122" s="37" t="n">
        <f aca="false">AVERAGE(K122:M122)</f>
        <v>5.8</v>
      </c>
      <c r="U122" s="37" t="n">
        <f aca="false">AVERAGE(N122:O122)</f>
        <v>5.2</v>
      </c>
      <c r="V122" s="23" t="str">
        <f aca="false">IF(S122&gt;='판정 기준'!$B$3,"H","L")&amp;IF(T122&gt;='판정 기준'!$B$3,"H","L")&amp;IF(U122&gt;='판정 기준'!$B$3,"H","L")</f>
        <v>HHH</v>
      </c>
      <c r="W122" s="36" t="str">
        <f aca="false">INDEX('포지션 정의'!$A$2:$A$9,MATCH(V122,'포지션 정의'!$D$2:$D$9,0))</f>
        <v>H</v>
      </c>
      <c r="X122" s="36" t="str">
        <f aca="false">INDEX('포지션 정의'!$B$2:$B$9,MATCH(V122,'포지션 정의'!$D$2:$D$9,0))</f>
        <v>올라운드 밸런스형</v>
      </c>
      <c r="Y122" s="43" t="str">
        <f aca="false">IF(AJ122="","가장 높은 지표: "&amp;AP122,LEFT(AJ122,LEN(AJ122)-2))</f>
        <v>사회적 도움 활용, 경기 준비 능력, 실수 후 회복력, 자기 통제력</v>
      </c>
      <c r="Z122" s="43" t="str">
        <f aca="false">IF(MAX(AK122:AO122)=0,"심화: "&amp;IF(N122=MIN(G122,Q122,K122,N122,P122),"실수 후 회복력",IF(K122=MIN(G122,Q122,K122,N122,P122),"경기 준비 능력",IF(G122=MIN(G122,Q122,K122,N122,P122),"경기긴장도",IF(P122=MIN(G122,Q122,K122,N122,P122),"자기 통제력","사회적 도움 활용")))),IF(MAX(AK122:AO122)&gt;='판정 기준'!$B$8-'판정 기준'!$B$4,IF(AN122=MAX(AK122:AO122),"실수 후 회복력",IF(AM122=MAX(AK122:AO122),"경기 준비 능력",IF(AK122=MAX(AK122:AO122),"경기긴장도",IF(AO122=MAX(AK122:AO122),"자기 통제력","사회적 도움 활용")))),IF(AN122&gt;0,"실수 후 회복력",IF(AM122&gt;0,"경기 준비 능력",IF(AK122&gt;0,"경기긴장도",IF(AO122&gt;0,"자기 통제력","사회적 도움 활용"))))))</f>
        <v>경기긴장도</v>
      </c>
      <c r="AA122" s="43" t="str">
        <f aca="false">INDEX('포지션 정의'!$L$2:$L$9,MATCH(V122,'포지션 정의'!$D$2:$D$9,0))</f>
        <v>크리스티아누 호날두 · 루카 모드리치 · 버질 반 다이크</v>
      </c>
      <c r="AB122" s="24" t="n">
        <f aca="false">ROUND(100*(1-SQRT(((S122-'포지션 정의'!$N$2)^2+(T122-'포지션 정의'!$O$2)^2+(U122-'포지션 정의'!$P$2)^2)/3)/'판정 기준'!$B$7),0)</f>
        <v>80</v>
      </c>
      <c r="AC122" s="24" t="n">
        <f aca="false">ROUND(100*(1-SQRT(((S122-'포지션 정의'!$N$3)^2+(T122-'포지션 정의'!$O$3)^2+(U122-'포지션 정의'!$P$3)^2)/3)/'판정 기준'!$B$7),0)</f>
        <v>81</v>
      </c>
      <c r="AD122" s="24" t="n">
        <f aca="false">ROUND(100*(1-SQRT(((S122-'포지션 정의'!$N$4)^2+(T122-'포지션 정의'!$O$4)^2+(U122-'포지션 정의'!$P$4)^2)/3)/'판정 기준'!$B$7),0)</f>
        <v>71</v>
      </c>
      <c r="AE122" s="24" t="n">
        <f aca="false">ROUND(100*(1-SQRT(((S122-'포지션 정의'!$N$5)^2+(T122-'포지션 정의'!$O$5)^2+(U122-'포지션 정의'!$P$5)^2)/3)/'판정 기준'!$B$7),0)</f>
        <v>76</v>
      </c>
      <c r="AF122" s="24" t="n">
        <f aca="false">ROUND(100*(1-SQRT(((S122-'포지션 정의'!$N$6)^2+(T122-'포지션 정의'!$O$6)^2+(U122-'포지션 정의'!$P$6)^2)/3)/'판정 기준'!$B$7),0)</f>
        <v>75</v>
      </c>
      <c r="AG122" s="24" t="n">
        <f aca="false">ROUND(100*(1-SQRT(((S122-'포지션 정의'!$N$7)^2+(T122-'포지션 정의'!$O$7)^2+(U122-'포지션 정의'!$P$7)^2)/3)/'판정 기준'!$B$7),0)</f>
        <v>89</v>
      </c>
      <c r="AH122" s="24" t="n">
        <f aca="false">ROUND(100*(1-SQRT(((S122-'포지션 정의'!$N$8)^2+(T122-'포지션 정의'!$O$8)^2+(U122-'포지션 정의'!$P$8)^2)/3)/'판정 기준'!$B$7),0)</f>
        <v>70</v>
      </c>
      <c r="AI122" s="24" t="n">
        <f aca="false">ROUND(100*(1-SQRT(((S122-'포지션 정의'!$N$9)^2+(T122-'포지션 정의'!$O$9)^2+(U122-'포지션 정의'!$P$9)^2)/3)/'판정 기준'!$B$7),0)</f>
        <v>90</v>
      </c>
      <c r="AJ122" s="23" t="str">
        <f aca="false">IF(G122&gt;='판정 기준'!$B$8,"경기긴장도, ","")&amp;IF(Q122&gt;='판정 기준'!$B$8,"사회적 도움 활용, ","")&amp;IF(K122&gt;='판정 기준'!$B$8,"경기 준비 능력, ","")&amp;IF(N122&gt;='판정 기준'!$B$8,"실수 후 회복력, ","")&amp;IF(P122&gt;='판정 기준'!$B$8,"자기 통제력, ","")</f>
        <v>사회적 도움 활용, 경기 준비 능력, 실수 후 회복력, 자기 통제력, </v>
      </c>
      <c r="AK122" s="23" t="n">
        <f aca="false">IF(AND(G122&lt;'판정 기준'!$B$8,OR(AJ122&lt;&gt;"",AP122&lt;&gt;"경기긴장도")),G122,0)</f>
        <v>4.4</v>
      </c>
      <c r="AL122" s="23" t="n">
        <f aca="false">IF(AND(Q122&lt;'판정 기준'!$B$8,OR(AJ122&lt;&gt;"",AP122&lt;&gt;"사회적 도움 활용")),Q122,0)</f>
        <v>0</v>
      </c>
      <c r="AM122" s="23" t="n">
        <f aca="false">IF(AND(K122&lt;'판정 기준'!$B$8,OR(AJ122&lt;&gt;"",AP122&lt;&gt;"경기 준비 능력")),K122,0)</f>
        <v>0</v>
      </c>
      <c r="AN122" s="23" t="n">
        <f aca="false">IF(AND(N122&lt;'판정 기준'!$B$8,OR(AJ122&lt;&gt;"",AP122&lt;&gt;"실수 후 회복력")),N122,0)</f>
        <v>0</v>
      </c>
      <c r="AO122" s="23" t="n">
        <f aca="false">IF(AND(P122&lt;'판정 기준'!$B$8,OR(AJ122&lt;&gt;"",AP122&lt;&gt;"자기 통제력")),P122,0)</f>
        <v>0</v>
      </c>
      <c r="AP122" s="23" t="str">
        <f aca="false">IF(Q122=MAX(G122,Q122,K122,N122,P122),"사회적 도움 활용",IF(P122=MAX(G122,Q122,K122,N122,P122),"자기 통제력",IF(G122=MAX(G122,Q122,K122,N122,P122),"경기긴장도",IF(K122=MAX(G122,Q122,K122,N122,P122),"경기 준비 능력","실수 후 회복력"))))</f>
        <v>경기 준비 능력</v>
      </c>
    </row>
    <row r="123" customFormat="false" ht="17.15" hidden="false" customHeight="false" outlineLevel="0" collapsed="false">
      <c r="A123" s="13" t="s">
        <v>340</v>
      </c>
      <c r="B123" s="13" t="s">
        <v>187</v>
      </c>
      <c r="C123" s="41" t="s">
        <v>338</v>
      </c>
      <c r="D123" s="14" t="n">
        <v>46155</v>
      </c>
      <c r="E123" s="41" t="s">
        <v>195</v>
      </c>
      <c r="F123" s="42" t="n">
        <v>4.8</v>
      </c>
      <c r="G123" s="42" t="n">
        <v>5.1</v>
      </c>
      <c r="H123" s="42" t="n">
        <v>4.3</v>
      </c>
      <c r="I123" s="42" t="n">
        <v>6</v>
      </c>
      <c r="J123" s="42" t="n">
        <v>4.3</v>
      </c>
      <c r="K123" s="42" t="n">
        <v>3.8</v>
      </c>
      <c r="L123" s="42" t="n">
        <v>3.8</v>
      </c>
      <c r="M123" s="42" t="n">
        <v>3.9</v>
      </c>
      <c r="N123" s="42" t="n">
        <v>5.6</v>
      </c>
      <c r="O123" s="42" t="n">
        <v>6</v>
      </c>
      <c r="P123" s="42" t="n">
        <v>4.5</v>
      </c>
      <c r="Q123" s="42" t="n">
        <v>6</v>
      </c>
      <c r="R123" s="42" t="n">
        <v>6</v>
      </c>
      <c r="S123" s="37" t="n">
        <f aca="false">AVERAGE(G123:J123)</f>
        <v>4.925</v>
      </c>
      <c r="T123" s="37" t="n">
        <f aca="false">AVERAGE(K123:M123)</f>
        <v>3.83333333333333</v>
      </c>
      <c r="U123" s="37" t="n">
        <f aca="false">AVERAGE(N123:O123)</f>
        <v>5.8</v>
      </c>
      <c r="V123" s="23" t="str">
        <f aca="false">IF(S123&gt;='판정 기준'!$B$3,"H","L")&amp;IF(T123&gt;='판정 기준'!$B$3,"H","L")&amp;IF(U123&gt;='판정 기준'!$B$3,"H","L")</f>
        <v>HLH</v>
      </c>
      <c r="W123" s="36" t="str">
        <f aca="false">INDEX('포지션 정의'!$A$2:$A$9,MATCH(V123,'포지션 정의'!$D$2:$D$9,0))</f>
        <v>D</v>
      </c>
      <c r="X123" s="36" t="str">
        <f aca="false">INDEX('포지션 정의'!$B$2:$B$9,MATCH(V123,'포지션 정의'!$D$2:$D$9,0))</f>
        <v>실전 승부사형</v>
      </c>
      <c r="Y123" s="43" t="str">
        <f aca="false">IF(AJ123="","가장 높은 지표: "&amp;AP123,LEFT(AJ123,LEN(AJ123)-2))</f>
        <v>경기긴장도, 사회적 도움 활용, 실수 후 회복력</v>
      </c>
      <c r="Z123" s="43" t="str">
        <f aca="false">IF(MAX(AK123:AO123)=0,"심화: "&amp;IF(N123=MIN(G123,Q123,K123,N123,P123),"실수 후 회복력",IF(K123=MIN(G123,Q123,K123,N123,P123),"경기 준비 능력",IF(G123=MIN(G123,Q123,K123,N123,P123),"경기긴장도",IF(P123=MIN(G123,Q123,K123,N123,P123),"자기 통제력","사회적 도움 활용")))),IF(MAX(AK123:AO123)&gt;='판정 기준'!$B$8-'판정 기준'!$B$4,IF(AN123=MAX(AK123:AO123),"실수 후 회복력",IF(AM123=MAX(AK123:AO123),"경기 준비 능력",IF(AK123=MAX(AK123:AO123),"경기긴장도",IF(AO123=MAX(AK123:AO123),"자기 통제력","사회적 도움 활용")))),IF(AN123&gt;0,"실수 후 회복력",IF(AM123&gt;0,"경기 준비 능력",IF(AK123&gt;0,"경기긴장도",IF(AO123&gt;0,"자기 통제력","사회적 도움 활용"))))))</f>
        <v>자기 통제력</v>
      </c>
      <c r="AA123" s="43" t="str">
        <f aca="false">INDEX('포지션 정의'!$L$2:$L$9,MATCH(V123,'포지션 정의'!$D$2:$D$9,0))</f>
        <v>즐라탄 이브라히모비치 · 호나우지뉴 · 디에고 마라도나</v>
      </c>
      <c r="AB123" s="24" t="n">
        <f aca="false">ROUND(100*(1-SQRT(((S123-'포지션 정의'!$N$2)^2+(T123-'포지션 정의'!$O$2)^2+(U123-'포지션 정의'!$P$2)^2)/3)/'판정 기준'!$B$7),0)</f>
        <v>69</v>
      </c>
      <c r="AC123" s="24" t="n">
        <f aca="false">ROUND(100*(1-SQRT(((S123-'포지션 정의'!$N$3)^2+(T123-'포지션 정의'!$O$3)^2+(U123-'포지션 정의'!$P$3)^2)/3)/'판정 기준'!$B$7),0)</f>
        <v>72</v>
      </c>
      <c r="AD123" s="24" t="n">
        <f aca="false">ROUND(100*(1-SQRT(((S123-'포지션 정의'!$N$4)^2+(T123-'포지션 정의'!$O$4)^2+(U123-'포지션 정의'!$P$4)^2)/3)/'판정 기준'!$B$7),0)</f>
        <v>77</v>
      </c>
      <c r="AE123" s="24" t="n">
        <f aca="false">ROUND(100*(1-SQRT(((S123-'포지션 정의'!$N$5)^2+(T123-'포지션 정의'!$O$5)^2+(U123-'포지션 정의'!$P$5)^2)/3)/'판정 기준'!$B$7),0)</f>
        <v>92</v>
      </c>
      <c r="AF123" s="24" t="n">
        <f aca="false">ROUND(100*(1-SQRT(((S123-'포지션 정의'!$N$6)^2+(T123-'포지션 정의'!$O$6)^2+(U123-'포지션 정의'!$P$6)^2)/3)/'판정 기준'!$B$7),0)</f>
        <v>85</v>
      </c>
      <c r="AG123" s="24" t="n">
        <f aca="false">ROUND(100*(1-SQRT(((S123-'포지션 정의'!$N$7)^2+(T123-'포지션 정의'!$O$7)^2+(U123-'포지션 정의'!$P$7)^2)/3)/'판정 기준'!$B$7),0)</f>
        <v>78</v>
      </c>
      <c r="AH123" s="24" t="n">
        <f aca="false">ROUND(100*(1-SQRT(((S123-'포지션 정의'!$N$8)^2+(T123-'포지션 정의'!$O$8)^2+(U123-'포지션 정의'!$P$8)^2)/3)/'판정 기준'!$B$7),0)</f>
        <v>74</v>
      </c>
      <c r="AI123" s="24" t="n">
        <f aca="false">ROUND(100*(1-SQRT(((S123-'포지션 정의'!$N$9)^2+(T123-'포지션 정의'!$O$9)^2+(U123-'포지션 정의'!$P$9)^2)/3)/'판정 기준'!$B$7),0)</f>
        <v>82</v>
      </c>
      <c r="AJ123" s="23" t="str">
        <f aca="false">IF(G123&gt;='판정 기준'!$B$8,"경기긴장도, ","")&amp;IF(Q123&gt;='판정 기준'!$B$8,"사회적 도움 활용, ","")&amp;IF(K123&gt;='판정 기준'!$B$8,"경기 준비 능력, ","")&amp;IF(N123&gt;='판정 기준'!$B$8,"실수 후 회복력, ","")&amp;IF(P123&gt;='판정 기준'!$B$8,"자기 통제력, ","")</f>
        <v>경기긴장도, 사회적 도움 활용, 실수 후 회복력, </v>
      </c>
      <c r="AK123" s="23" t="n">
        <f aca="false">IF(AND(G123&lt;'판정 기준'!$B$8,OR(AJ123&lt;&gt;"",AP123&lt;&gt;"경기긴장도")),G123,0)</f>
        <v>0</v>
      </c>
      <c r="AL123" s="23" t="n">
        <f aca="false">IF(AND(Q123&lt;'판정 기준'!$B$8,OR(AJ123&lt;&gt;"",AP123&lt;&gt;"사회적 도움 활용")),Q123,0)</f>
        <v>0</v>
      </c>
      <c r="AM123" s="23" t="n">
        <f aca="false">IF(AND(K123&lt;'판정 기준'!$B$8,OR(AJ123&lt;&gt;"",AP123&lt;&gt;"경기 준비 능력")),K123,0)</f>
        <v>3.8</v>
      </c>
      <c r="AN123" s="23" t="n">
        <f aca="false">IF(AND(N123&lt;'판정 기준'!$B$8,OR(AJ123&lt;&gt;"",AP123&lt;&gt;"실수 후 회복력")),N123,0)</f>
        <v>0</v>
      </c>
      <c r="AO123" s="23" t="n">
        <f aca="false">IF(AND(P123&lt;'판정 기준'!$B$8,OR(AJ123&lt;&gt;"",AP123&lt;&gt;"자기 통제력")),P123,0)</f>
        <v>4.5</v>
      </c>
      <c r="AP123" s="23" t="str">
        <f aca="false">IF(Q123=MAX(G123,Q123,K123,N123,P123),"사회적 도움 활용",IF(P123=MAX(G123,Q123,K123,N123,P123),"자기 통제력",IF(G123=MAX(G123,Q123,K123,N123,P123),"경기긴장도",IF(K123=MAX(G123,Q123,K123,N123,P123),"경기 준비 능력","실수 후 회복력"))))</f>
        <v>사회적 도움 활용</v>
      </c>
    </row>
    <row r="124" customFormat="false" ht="17.15" hidden="false" customHeight="false" outlineLevel="0" collapsed="false">
      <c r="A124" s="13" t="s">
        <v>341</v>
      </c>
      <c r="B124" s="13" t="s">
        <v>187</v>
      </c>
      <c r="C124" s="41" t="s">
        <v>338</v>
      </c>
      <c r="D124" s="14" t="n">
        <v>46155</v>
      </c>
      <c r="E124" s="41" t="s">
        <v>195</v>
      </c>
      <c r="F124" s="42" t="n">
        <v>4.5</v>
      </c>
      <c r="G124" s="42" t="n">
        <v>4.8</v>
      </c>
      <c r="H124" s="42" t="n">
        <v>4.3</v>
      </c>
      <c r="I124" s="42" t="n">
        <v>5</v>
      </c>
      <c r="J124" s="42" t="n">
        <v>4.5</v>
      </c>
      <c r="K124" s="42" t="n">
        <v>3.2</v>
      </c>
      <c r="L124" s="42" t="n">
        <v>3</v>
      </c>
      <c r="M124" s="42" t="n">
        <v>3.4</v>
      </c>
      <c r="N124" s="42" t="n">
        <v>6</v>
      </c>
      <c r="O124" s="42" t="n">
        <v>5.7</v>
      </c>
      <c r="P124" s="42" t="n">
        <v>3.3</v>
      </c>
      <c r="Q124" s="42" t="n">
        <v>5.6</v>
      </c>
      <c r="R124" s="42" t="n">
        <v>5.3</v>
      </c>
      <c r="S124" s="37" t="n">
        <f aca="false">AVERAGE(G124:J124)</f>
        <v>4.65</v>
      </c>
      <c r="T124" s="37" t="n">
        <f aca="false">AVERAGE(K124:M124)</f>
        <v>3.2</v>
      </c>
      <c r="U124" s="37" t="n">
        <f aca="false">AVERAGE(N124:O124)</f>
        <v>5.85</v>
      </c>
      <c r="V124" s="23" t="str">
        <f aca="false">IF(S124&gt;='판정 기준'!$B$3,"H","L")&amp;IF(T124&gt;='판정 기준'!$B$3,"H","L")&amp;IF(U124&gt;='판정 기준'!$B$3,"H","L")</f>
        <v>HLH</v>
      </c>
      <c r="W124" s="36" t="str">
        <f aca="false">INDEX('포지션 정의'!$A$2:$A$9,MATCH(V124,'포지션 정의'!$D$2:$D$9,0))</f>
        <v>D</v>
      </c>
      <c r="X124" s="36" t="str">
        <f aca="false">INDEX('포지션 정의'!$B$2:$B$9,MATCH(V124,'포지션 정의'!$D$2:$D$9,0))</f>
        <v>실전 승부사형</v>
      </c>
      <c r="Y124" s="43" t="str">
        <f aca="false">IF(AJ124="","가장 높은 지표: "&amp;AP124,LEFT(AJ124,LEN(AJ124)-2))</f>
        <v>경기긴장도, 사회적 도움 활용, 실수 후 회복력</v>
      </c>
      <c r="Z124" s="43" t="str">
        <f aca="false">IF(MAX(AK124:AO124)=0,"심화: "&amp;IF(N124=MIN(G124,Q124,K124,N124,P124),"실수 후 회복력",IF(K124=MIN(G124,Q124,K124,N124,P124),"경기 준비 능력",IF(G124=MIN(G124,Q124,K124,N124,P124),"경기긴장도",IF(P124=MIN(G124,Q124,K124,N124,P124),"자기 통제력","사회적 도움 활용")))),IF(MAX(AK124:AO124)&gt;='판정 기준'!$B$8-'판정 기준'!$B$4,IF(AN124=MAX(AK124:AO124),"실수 후 회복력",IF(AM124=MAX(AK124:AO124),"경기 준비 능력",IF(AK124=MAX(AK124:AO124),"경기긴장도",IF(AO124=MAX(AK124:AO124),"자기 통제력","사회적 도움 활용")))),IF(AN124&gt;0,"실수 후 회복력",IF(AM124&gt;0,"경기 준비 능력",IF(AK124&gt;0,"경기긴장도",IF(AO124&gt;0,"자기 통제력","사회적 도움 활용"))))))</f>
        <v>경기 준비 능력</v>
      </c>
      <c r="AA124" s="43" t="str">
        <f aca="false">INDEX('포지션 정의'!$L$2:$L$9,MATCH(V124,'포지션 정의'!$D$2:$D$9,0))</f>
        <v>즐라탄 이브라히모비치 · 호나우지뉴 · 디에고 마라도나</v>
      </c>
      <c r="AB124" s="24" t="n">
        <f aca="false">ROUND(100*(1-SQRT(((S124-'포지션 정의'!$N$2)^2+(T124-'포지션 정의'!$O$2)^2+(U124-'포지션 정의'!$P$2)^2)/3)/'판정 기준'!$B$7),0)</f>
        <v>66</v>
      </c>
      <c r="AC124" s="24" t="n">
        <f aca="false">ROUND(100*(1-SQRT(((S124-'포지션 정의'!$N$3)^2+(T124-'포지션 정의'!$O$3)^2+(U124-'포지션 정의'!$P$3)^2)/3)/'판정 기준'!$B$7),0)</f>
        <v>66</v>
      </c>
      <c r="AD124" s="24" t="n">
        <f aca="false">ROUND(100*(1-SQRT(((S124-'포지션 정의'!$N$4)^2+(T124-'포지션 정의'!$O$4)^2+(U124-'포지션 정의'!$P$4)^2)/3)/'판정 기준'!$B$7),0)</f>
        <v>75</v>
      </c>
      <c r="AE124" s="24" t="n">
        <f aca="false">ROUND(100*(1-SQRT(((S124-'포지션 정의'!$N$5)^2+(T124-'포지션 정의'!$O$5)^2+(U124-'포지션 정의'!$P$5)^2)/3)/'판정 기준'!$B$7),0)</f>
        <v>88</v>
      </c>
      <c r="AF124" s="24" t="n">
        <f aca="false">ROUND(100*(1-SQRT(((S124-'포지션 정의'!$N$6)^2+(T124-'포지션 정의'!$O$6)^2+(U124-'포지션 정의'!$P$6)^2)/3)/'판정 기준'!$B$7),0)</f>
        <v>86</v>
      </c>
      <c r="AG124" s="24" t="n">
        <f aca="false">ROUND(100*(1-SQRT(((S124-'포지션 정의'!$N$7)^2+(T124-'포지션 정의'!$O$7)^2+(U124-'포지션 정의'!$P$7)^2)/3)/'판정 기준'!$B$7),0)</f>
        <v>74</v>
      </c>
      <c r="AH124" s="24" t="n">
        <f aca="false">ROUND(100*(1-SQRT(((S124-'포지션 정의'!$N$8)^2+(T124-'포지션 정의'!$O$8)^2+(U124-'포지션 정의'!$P$8)^2)/3)/'판정 기준'!$B$7),0)</f>
        <v>73</v>
      </c>
      <c r="AI124" s="24" t="n">
        <f aca="false">ROUND(100*(1-SQRT(((S124-'포지션 정의'!$N$9)^2+(T124-'포지션 정의'!$O$9)^2+(U124-'포지션 정의'!$P$9)^2)/3)/'판정 기준'!$B$7),0)</f>
        <v>75</v>
      </c>
      <c r="AJ124" s="23" t="str">
        <f aca="false">IF(G124&gt;='판정 기준'!$B$8,"경기긴장도, ","")&amp;IF(Q124&gt;='판정 기준'!$B$8,"사회적 도움 활용, ","")&amp;IF(K124&gt;='판정 기준'!$B$8,"경기 준비 능력, ","")&amp;IF(N124&gt;='판정 기준'!$B$8,"실수 후 회복력, ","")&amp;IF(P124&gt;='판정 기준'!$B$8,"자기 통제력, ","")</f>
        <v>경기긴장도, 사회적 도움 활용, 실수 후 회복력, </v>
      </c>
      <c r="AK124" s="23" t="n">
        <f aca="false">IF(AND(G124&lt;'판정 기준'!$B$8,OR(AJ124&lt;&gt;"",AP124&lt;&gt;"경기긴장도")),G124,0)</f>
        <v>0</v>
      </c>
      <c r="AL124" s="23" t="n">
        <f aca="false">IF(AND(Q124&lt;'판정 기준'!$B$8,OR(AJ124&lt;&gt;"",AP124&lt;&gt;"사회적 도움 활용")),Q124,0)</f>
        <v>0</v>
      </c>
      <c r="AM124" s="23" t="n">
        <f aca="false">IF(AND(K124&lt;'판정 기준'!$B$8,OR(AJ124&lt;&gt;"",AP124&lt;&gt;"경기 준비 능력")),K124,0)</f>
        <v>3.2</v>
      </c>
      <c r="AN124" s="23" t="n">
        <f aca="false">IF(AND(N124&lt;'판정 기준'!$B$8,OR(AJ124&lt;&gt;"",AP124&lt;&gt;"실수 후 회복력")),N124,0)</f>
        <v>0</v>
      </c>
      <c r="AO124" s="23" t="n">
        <f aca="false">IF(AND(P124&lt;'판정 기준'!$B$8,OR(AJ124&lt;&gt;"",AP124&lt;&gt;"자기 통제력")),P124,0)</f>
        <v>3.3</v>
      </c>
      <c r="AP124" s="23" t="str">
        <f aca="false">IF(Q124=MAX(G124,Q124,K124,N124,P124),"사회적 도움 활용",IF(P124=MAX(G124,Q124,K124,N124,P124),"자기 통제력",IF(G124=MAX(G124,Q124,K124,N124,P124),"경기긴장도",IF(K124=MAX(G124,Q124,K124,N124,P124),"경기 준비 능력","실수 후 회복력"))))</f>
        <v>실수 후 회복력</v>
      </c>
    </row>
    <row r="125" customFormat="false" ht="17.15" hidden="false" customHeight="false" outlineLevel="0" collapsed="false">
      <c r="A125" s="13" t="s">
        <v>342</v>
      </c>
      <c r="B125" s="13" t="s">
        <v>187</v>
      </c>
      <c r="C125" s="41" t="s">
        <v>338</v>
      </c>
      <c r="D125" s="14" t="n">
        <v>46155</v>
      </c>
      <c r="E125" s="41" t="s">
        <v>195</v>
      </c>
      <c r="F125" s="42" t="n">
        <v>5.9</v>
      </c>
      <c r="G125" s="42" t="n">
        <v>6</v>
      </c>
      <c r="H125" s="42" t="n">
        <v>6</v>
      </c>
      <c r="I125" s="42" t="n">
        <v>6</v>
      </c>
      <c r="J125" s="42" t="n">
        <v>6</v>
      </c>
      <c r="K125" s="42" t="n">
        <v>5.8</v>
      </c>
      <c r="L125" s="42" t="n">
        <v>6</v>
      </c>
      <c r="M125" s="42" t="n">
        <v>5.6</v>
      </c>
      <c r="N125" s="42" t="n">
        <v>5.9</v>
      </c>
      <c r="O125" s="42" t="n">
        <v>5.8</v>
      </c>
      <c r="P125" s="42" t="n">
        <v>5.7</v>
      </c>
      <c r="Q125" s="42" t="n">
        <v>5.4</v>
      </c>
      <c r="R125" s="42" t="n">
        <v>6</v>
      </c>
      <c r="S125" s="37" t="n">
        <f aca="false">AVERAGE(G125:J125)</f>
        <v>6</v>
      </c>
      <c r="T125" s="37" t="n">
        <f aca="false">AVERAGE(K125:M125)</f>
        <v>5.8</v>
      </c>
      <c r="U125" s="37" t="n">
        <f aca="false">AVERAGE(N125:O125)</f>
        <v>5.85</v>
      </c>
      <c r="V125" s="23" t="str">
        <f aca="false">IF(S125&gt;='판정 기준'!$B$3,"H","L")&amp;IF(T125&gt;='판정 기준'!$B$3,"H","L")&amp;IF(U125&gt;='판정 기준'!$B$3,"H","L")</f>
        <v>HHH</v>
      </c>
      <c r="W125" s="36" t="str">
        <f aca="false">INDEX('포지션 정의'!$A$2:$A$9,MATCH(V125,'포지션 정의'!$D$2:$D$9,0))</f>
        <v>H</v>
      </c>
      <c r="X125" s="36" t="str">
        <f aca="false">INDEX('포지션 정의'!$B$2:$B$9,MATCH(V125,'포지션 정의'!$D$2:$D$9,0))</f>
        <v>올라운드 밸런스형</v>
      </c>
      <c r="Y125" s="43" t="str">
        <f aca="false">IF(AJ125="","가장 높은 지표: "&amp;AP125,LEFT(AJ125,LEN(AJ125)-2))</f>
        <v>경기긴장도, 사회적 도움 활용, 경기 준비 능력, 실수 후 회복력, 자기 통제력</v>
      </c>
      <c r="Z125" s="43" t="str">
        <f aca="false">IF(MAX(AK125:AO125)=0,"심화: "&amp;IF(N125=MIN(G125,Q125,K125,N125,P125),"실수 후 회복력",IF(K125=MIN(G125,Q125,K125,N125,P125),"경기 준비 능력",IF(G125=MIN(G125,Q125,K125,N125,P125),"경기긴장도",IF(P125=MIN(G125,Q125,K125,N125,P125),"자기 통제력","사회적 도움 활용")))),IF(MAX(AK125:AO125)&gt;='판정 기준'!$B$8-'판정 기준'!$B$4,IF(AN125=MAX(AK125:AO125),"실수 후 회복력",IF(AM125=MAX(AK125:AO125),"경기 준비 능력",IF(AK125=MAX(AK125:AO125),"경기긴장도",IF(AO125=MAX(AK125:AO125),"자기 통제력","사회적 도움 활용")))),IF(AN125&gt;0,"실수 후 회복력",IF(AM125&gt;0,"경기 준비 능력",IF(AK125&gt;0,"경기긴장도",IF(AO125&gt;0,"자기 통제력","사회적 도움 활용"))))))</f>
        <v>심화: 사회적 도움 활용</v>
      </c>
      <c r="AA125" s="43" t="str">
        <f aca="false">INDEX('포지션 정의'!$L$2:$L$9,MATCH(V125,'포지션 정의'!$D$2:$D$9,0))</f>
        <v>크리스티아누 호날두 · 루카 모드리치 · 버질 반 다이크</v>
      </c>
      <c r="AB125" s="24" t="n">
        <f aca="false">ROUND(100*(1-SQRT(((S125-'포지션 정의'!$N$2)^2+(T125-'포지션 정의'!$O$2)^2+(U125-'포지션 정의'!$P$2)^2)/3)/'판정 기준'!$B$7),0)</f>
        <v>65</v>
      </c>
      <c r="AC125" s="24" t="n">
        <f aca="false">ROUND(100*(1-SQRT(((S125-'포지션 정의'!$N$3)^2+(T125-'포지션 정의'!$O$3)^2+(U125-'포지션 정의'!$P$3)^2)/3)/'판정 기준'!$B$7),0)</f>
        <v>74</v>
      </c>
      <c r="AD125" s="24" t="n">
        <f aca="false">ROUND(100*(1-SQRT(((S125-'포지션 정의'!$N$4)^2+(T125-'포지션 정의'!$O$4)^2+(U125-'포지션 정의'!$P$4)^2)/3)/'판정 기준'!$B$7),0)</f>
        <v>66</v>
      </c>
      <c r="AE125" s="24" t="n">
        <f aca="false">ROUND(100*(1-SQRT(((S125-'포지션 정의'!$N$5)^2+(T125-'포지션 정의'!$O$5)^2+(U125-'포지션 정의'!$P$5)^2)/3)/'판정 기준'!$B$7),0)</f>
        <v>74</v>
      </c>
      <c r="AF125" s="24" t="n">
        <f aca="false">ROUND(100*(1-SQRT(((S125-'포지션 정의'!$N$6)^2+(T125-'포지션 정의'!$O$6)^2+(U125-'포지션 정의'!$P$6)^2)/3)/'판정 기준'!$B$7),0)</f>
        <v>65</v>
      </c>
      <c r="AG125" s="24" t="n">
        <f aca="false">ROUND(100*(1-SQRT(((S125-'포지션 정의'!$N$7)^2+(T125-'포지션 정의'!$O$7)^2+(U125-'포지션 정의'!$P$7)^2)/3)/'판정 기준'!$B$7),0)</f>
        <v>73</v>
      </c>
      <c r="AH125" s="24" t="n">
        <f aca="false">ROUND(100*(1-SQRT(((S125-'포지션 정의'!$N$8)^2+(T125-'포지션 정의'!$O$8)^2+(U125-'포지션 정의'!$P$8)^2)/3)/'판정 기준'!$B$7),0)</f>
        <v>58</v>
      </c>
      <c r="AI125" s="24" t="n">
        <f aca="false">ROUND(100*(1-SQRT(((S125-'포지션 정의'!$N$9)^2+(T125-'포지션 정의'!$O$9)^2+(U125-'포지션 정의'!$P$9)^2)/3)/'판정 기준'!$B$7),0)</f>
        <v>86</v>
      </c>
      <c r="AJ125" s="23" t="str">
        <f aca="false">IF(G125&gt;='판정 기준'!$B$8,"경기긴장도, ","")&amp;IF(Q125&gt;='판정 기준'!$B$8,"사회적 도움 활용, ","")&amp;IF(K125&gt;='판정 기준'!$B$8,"경기 준비 능력, ","")&amp;IF(N125&gt;='판정 기준'!$B$8,"실수 후 회복력, ","")&amp;IF(P125&gt;='판정 기준'!$B$8,"자기 통제력, ","")</f>
        <v>경기긴장도, 사회적 도움 활용, 경기 준비 능력, 실수 후 회복력, 자기 통제력, </v>
      </c>
      <c r="AK125" s="23" t="n">
        <f aca="false">IF(AND(G125&lt;'판정 기준'!$B$8,OR(AJ125&lt;&gt;"",AP125&lt;&gt;"경기긴장도")),G125,0)</f>
        <v>0</v>
      </c>
      <c r="AL125" s="23" t="n">
        <f aca="false">IF(AND(Q125&lt;'판정 기준'!$B$8,OR(AJ125&lt;&gt;"",AP125&lt;&gt;"사회적 도움 활용")),Q125,0)</f>
        <v>0</v>
      </c>
      <c r="AM125" s="23" t="n">
        <f aca="false">IF(AND(K125&lt;'판정 기준'!$B$8,OR(AJ125&lt;&gt;"",AP125&lt;&gt;"경기 준비 능력")),K125,0)</f>
        <v>0</v>
      </c>
      <c r="AN125" s="23" t="n">
        <f aca="false">IF(AND(N125&lt;'판정 기준'!$B$8,OR(AJ125&lt;&gt;"",AP125&lt;&gt;"실수 후 회복력")),N125,0)</f>
        <v>0</v>
      </c>
      <c r="AO125" s="23" t="n">
        <f aca="false">IF(AND(P125&lt;'판정 기준'!$B$8,OR(AJ125&lt;&gt;"",AP125&lt;&gt;"자기 통제력")),P125,0)</f>
        <v>0</v>
      </c>
      <c r="AP125" s="23" t="str">
        <f aca="false">IF(Q125=MAX(G125,Q125,K125,N125,P125),"사회적 도움 활용",IF(P125=MAX(G125,Q125,K125,N125,P125),"자기 통제력",IF(G125=MAX(G125,Q125,K125,N125,P125),"경기긴장도",IF(K125=MAX(G125,Q125,K125,N125,P125),"경기 준비 능력","실수 후 회복력"))))</f>
        <v>경기긴장도</v>
      </c>
    </row>
    <row r="126" customFormat="false" ht="17.15" hidden="false" customHeight="false" outlineLevel="0" collapsed="false">
      <c r="A126" s="13" t="s">
        <v>343</v>
      </c>
      <c r="B126" s="13" t="s">
        <v>187</v>
      </c>
      <c r="C126" s="41" t="s">
        <v>338</v>
      </c>
      <c r="D126" s="14" t="n">
        <v>46155</v>
      </c>
      <c r="E126" s="41" t="s">
        <v>198</v>
      </c>
      <c r="F126" s="42" t="n">
        <v>5.5</v>
      </c>
      <c r="G126" s="42" t="n">
        <v>5.5</v>
      </c>
      <c r="H126" s="42" t="n">
        <v>5.2</v>
      </c>
      <c r="I126" s="42" t="n">
        <v>5.8</v>
      </c>
      <c r="J126" s="42" t="n">
        <v>5.2</v>
      </c>
      <c r="K126" s="42" t="n">
        <v>5.2</v>
      </c>
      <c r="L126" s="42" t="n">
        <v>5.2</v>
      </c>
      <c r="M126" s="42" t="n">
        <v>5.1</v>
      </c>
      <c r="N126" s="42" t="n">
        <v>6</v>
      </c>
      <c r="O126" s="42" t="n">
        <v>6</v>
      </c>
      <c r="P126" s="42" t="n">
        <v>5.2</v>
      </c>
      <c r="Q126" s="42" t="n">
        <v>6</v>
      </c>
      <c r="R126" s="42" t="n">
        <v>5.7</v>
      </c>
      <c r="S126" s="37" t="n">
        <f aca="false">AVERAGE(G126:J126)</f>
        <v>5.425</v>
      </c>
      <c r="T126" s="37" t="n">
        <f aca="false">AVERAGE(K126:M126)</f>
        <v>5.16666666666667</v>
      </c>
      <c r="U126" s="37" t="n">
        <f aca="false">AVERAGE(N126:O126)</f>
        <v>6</v>
      </c>
      <c r="V126" s="23" t="str">
        <f aca="false">IF(S126&gt;='판정 기준'!$B$3,"H","L")&amp;IF(T126&gt;='판정 기준'!$B$3,"H","L")&amp;IF(U126&gt;='판정 기준'!$B$3,"H","L")</f>
        <v>HHH</v>
      </c>
      <c r="W126" s="36" t="str">
        <f aca="false">INDEX('포지션 정의'!$A$2:$A$9,MATCH(V126,'포지션 정의'!$D$2:$D$9,0))</f>
        <v>H</v>
      </c>
      <c r="X126" s="36" t="str">
        <f aca="false">INDEX('포지션 정의'!$B$2:$B$9,MATCH(V126,'포지션 정의'!$D$2:$D$9,0))</f>
        <v>올라운드 밸런스형</v>
      </c>
      <c r="Y126" s="43" t="str">
        <f aca="false">IF(AJ126="","가장 높은 지표: "&amp;AP126,LEFT(AJ126,LEN(AJ126)-2))</f>
        <v>경기긴장도, 사회적 도움 활용, 경기 준비 능력, 실수 후 회복력, 자기 통제력</v>
      </c>
      <c r="Z126" s="43" t="str">
        <f aca="false">IF(MAX(AK126:AO126)=0,"심화: "&amp;IF(N126=MIN(G126,Q126,K126,N126,P126),"실수 후 회복력",IF(K126=MIN(G126,Q126,K126,N126,P126),"경기 준비 능력",IF(G126=MIN(G126,Q126,K126,N126,P126),"경기긴장도",IF(P126=MIN(G126,Q126,K126,N126,P126),"자기 통제력","사회적 도움 활용")))),IF(MAX(AK126:AO126)&gt;='판정 기준'!$B$8-'판정 기준'!$B$4,IF(AN126=MAX(AK126:AO126),"실수 후 회복력",IF(AM126=MAX(AK126:AO126),"경기 준비 능력",IF(AK126=MAX(AK126:AO126),"경기긴장도",IF(AO126=MAX(AK126:AO126),"자기 통제력","사회적 도움 활용")))),IF(AN126&gt;0,"실수 후 회복력",IF(AM126&gt;0,"경기 준비 능력",IF(AK126&gt;0,"경기긴장도",IF(AO126&gt;0,"자기 통제력","사회적 도움 활용"))))))</f>
        <v>심화: 경기 준비 능력</v>
      </c>
      <c r="AA126" s="43" t="str">
        <f aca="false">INDEX('포지션 정의'!$L$2:$L$9,MATCH(V126,'포지션 정의'!$D$2:$D$9,0))</f>
        <v>크리스티아누 호날두 · 루카 모드리치 · 버질 반 다이크</v>
      </c>
      <c r="AB126" s="24" t="n">
        <f aca="false">ROUND(100*(1-SQRT(((S126-'포지션 정의'!$N$2)^2+(T126-'포지션 정의'!$O$2)^2+(U126-'포지션 정의'!$P$2)^2)/3)/'판정 기준'!$B$7),0)</f>
        <v>68</v>
      </c>
      <c r="AC126" s="24" t="n">
        <f aca="false">ROUND(100*(1-SQRT(((S126-'포지션 정의'!$N$3)^2+(T126-'포지션 정의'!$O$3)^2+(U126-'포지션 정의'!$P$3)^2)/3)/'판정 기준'!$B$7),0)</f>
        <v>74</v>
      </c>
      <c r="AD126" s="24" t="n">
        <f aca="false">ROUND(100*(1-SQRT(((S126-'포지션 정의'!$N$4)^2+(T126-'포지션 정의'!$O$4)^2+(U126-'포지션 정의'!$P$4)^2)/3)/'판정 기준'!$B$7),0)</f>
        <v>70</v>
      </c>
      <c r="AE126" s="24" t="n">
        <f aca="false">ROUND(100*(1-SQRT(((S126-'포지션 정의'!$N$5)^2+(T126-'포지션 정의'!$O$5)^2+(U126-'포지션 정의'!$P$5)^2)/3)/'판정 기준'!$B$7),0)</f>
        <v>82</v>
      </c>
      <c r="AF126" s="24" t="n">
        <f aca="false">ROUND(100*(1-SQRT(((S126-'포지션 정의'!$N$6)^2+(T126-'포지션 정의'!$O$6)^2+(U126-'포지션 정의'!$P$6)^2)/3)/'판정 기준'!$B$7),0)</f>
        <v>74</v>
      </c>
      <c r="AG126" s="24" t="n">
        <f aca="false">ROUND(100*(1-SQRT(((S126-'포지션 정의'!$N$7)^2+(T126-'포지션 정의'!$O$7)^2+(U126-'포지션 정의'!$P$7)^2)/3)/'판정 기준'!$B$7),0)</f>
        <v>79</v>
      </c>
      <c r="AH126" s="24" t="n">
        <f aca="false">ROUND(100*(1-SQRT(((S126-'포지션 정의'!$N$8)^2+(T126-'포지션 정의'!$O$8)^2+(U126-'포지션 정의'!$P$8)^2)/3)/'판정 기준'!$B$7),0)</f>
        <v>65</v>
      </c>
      <c r="AI126" s="24" t="n">
        <f aca="false">ROUND(100*(1-SQRT(((S126-'포지션 정의'!$N$9)^2+(T126-'포지션 정의'!$O$9)^2+(U126-'포지션 정의'!$P$9)^2)/3)/'판정 기준'!$B$7),0)</f>
        <v>90</v>
      </c>
      <c r="AJ126" s="23" t="str">
        <f aca="false">IF(G126&gt;='판정 기준'!$B$8,"경기긴장도, ","")&amp;IF(Q126&gt;='판정 기준'!$B$8,"사회적 도움 활용, ","")&amp;IF(K126&gt;='판정 기준'!$B$8,"경기 준비 능력, ","")&amp;IF(N126&gt;='판정 기준'!$B$8,"실수 후 회복력, ","")&amp;IF(P126&gt;='판정 기준'!$B$8,"자기 통제력, ","")</f>
        <v>경기긴장도, 사회적 도움 활용, 경기 준비 능력, 실수 후 회복력, 자기 통제력, </v>
      </c>
      <c r="AK126" s="23" t="n">
        <f aca="false">IF(AND(G126&lt;'판정 기준'!$B$8,OR(AJ126&lt;&gt;"",AP126&lt;&gt;"경기긴장도")),G126,0)</f>
        <v>0</v>
      </c>
      <c r="AL126" s="23" t="n">
        <f aca="false">IF(AND(Q126&lt;'판정 기준'!$B$8,OR(AJ126&lt;&gt;"",AP126&lt;&gt;"사회적 도움 활용")),Q126,0)</f>
        <v>0</v>
      </c>
      <c r="AM126" s="23" t="n">
        <f aca="false">IF(AND(K126&lt;'판정 기준'!$B$8,OR(AJ126&lt;&gt;"",AP126&lt;&gt;"경기 준비 능력")),K126,0)</f>
        <v>0</v>
      </c>
      <c r="AN126" s="23" t="n">
        <f aca="false">IF(AND(N126&lt;'판정 기준'!$B$8,OR(AJ126&lt;&gt;"",AP126&lt;&gt;"실수 후 회복력")),N126,0)</f>
        <v>0</v>
      </c>
      <c r="AO126" s="23" t="n">
        <f aca="false">IF(AND(P126&lt;'판정 기준'!$B$8,OR(AJ126&lt;&gt;"",AP126&lt;&gt;"자기 통제력")),P126,0)</f>
        <v>0</v>
      </c>
      <c r="AP126" s="23" t="str">
        <f aca="false">IF(Q126=MAX(G126,Q126,K126,N126,P126),"사회적 도움 활용",IF(P126=MAX(G126,Q126,K126,N126,P126),"자기 통제력",IF(G126=MAX(G126,Q126,K126,N126,P126),"경기긴장도",IF(K126=MAX(G126,Q126,K126,N126,P126),"경기 준비 능력","실수 후 회복력"))))</f>
        <v>사회적 도움 활용</v>
      </c>
    </row>
    <row r="127" customFormat="false" ht="17.15" hidden="false" customHeight="false" outlineLevel="0" collapsed="false">
      <c r="A127" s="13" t="s">
        <v>344</v>
      </c>
      <c r="B127" s="13" t="s">
        <v>187</v>
      </c>
      <c r="C127" s="13" t="s">
        <v>335</v>
      </c>
      <c r="D127" s="14" t="n">
        <v>46161</v>
      </c>
      <c r="E127" s="41" t="s">
        <v>195</v>
      </c>
      <c r="F127" s="42" t="n">
        <v>5.1</v>
      </c>
      <c r="G127" s="42" t="n">
        <v>4.4</v>
      </c>
      <c r="H127" s="42" t="n">
        <v>4.7</v>
      </c>
      <c r="I127" s="42" t="n">
        <v>5.6</v>
      </c>
      <c r="J127" s="42" t="n">
        <v>4.5</v>
      </c>
      <c r="K127" s="42" t="n">
        <v>4.8</v>
      </c>
      <c r="L127" s="42" t="n">
        <v>4.8</v>
      </c>
      <c r="M127" s="42" t="n">
        <v>4.9</v>
      </c>
      <c r="N127" s="42" t="n">
        <v>5.6</v>
      </c>
      <c r="O127" s="42" t="n">
        <v>5.5</v>
      </c>
      <c r="P127" s="42" t="n">
        <v>5.5</v>
      </c>
      <c r="Q127" s="42" t="n">
        <v>4.8</v>
      </c>
      <c r="R127" s="42" t="n">
        <v>6</v>
      </c>
      <c r="S127" s="37" t="n">
        <f aca="false">AVERAGE(G127:J127)</f>
        <v>4.8</v>
      </c>
      <c r="T127" s="37" t="n">
        <f aca="false">AVERAGE(K127:M127)</f>
        <v>4.83333333333333</v>
      </c>
      <c r="U127" s="37" t="n">
        <f aca="false">AVERAGE(N127:O127)</f>
        <v>5.55</v>
      </c>
      <c r="V127" s="23" t="str">
        <f aca="false">IF(S127&gt;='판정 기준'!$B$3,"H","L")&amp;IF(T127&gt;='판정 기준'!$B$3,"H","L")&amp;IF(U127&gt;='판정 기준'!$B$3,"H","L")</f>
        <v>HHH</v>
      </c>
      <c r="W127" s="36" t="str">
        <f aca="false">INDEX('포지션 정의'!$A$2:$A$9,MATCH(V127,'포지션 정의'!$D$2:$D$9,0))</f>
        <v>H</v>
      </c>
      <c r="X127" s="36" t="str">
        <f aca="false">INDEX('포지션 정의'!$B$2:$B$9,MATCH(V127,'포지션 정의'!$D$2:$D$9,0))</f>
        <v>올라운드 밸런스형</v>
      </c>
      <c r="Y127" s="43" t="str">
        <f aca="false">IF(AJ127="","가장 높은 지표: "&amp;AP127,LEFT(AJ127,LEN(AJ127)-2))</f>
        <v>사회적 도움 활용, 경기 준비 능력, 실수 후 회복력, 자기 통제력</v>
      </c>
      <c r="Z127" s="43" t="str">
        <f aca="false">IF(MAX(AK127:AO127)=0,"심화: "&amp;IF(N127=MIN(G127,Q127,K127,N127,P127),"실수 후 회복력",IF(K127=MIN(G127,Q127,K127,N127,P127),"경기 준비 능력",IF(G127=MIN(G127,Q127,K127,N127,P127),"경기긴장도",IF(P127=MIN(G127,Q127,K127,N127,P127),"자기 통제력","사회적 도움 활용")))),IF(MAX(AK127:AO127)&gt;='판정 기준'!$B$8-'판정 기준'!$B$4,IF(AN127=MAX(AK127:AO127),"실수 후 회복력",IF(AM127=MAX(AK127:AO127),"경기 준비 능력",IF(AK127=MAX(AK127:AO127),"경기긴장도",IF(AO127=MAX(AK127:AO127),"자기 통제력","사회적 도움 활용")))),IF(AN127&gt;0,"실수 후 회복력",IF(AM127&gt;0,"경기 준비 능력",IF(AK127&gt;0,"경기긴장도",IF(AO127&gt;0,"자기 통제력","사회적 도움 활용"))))))</f>
        <v>경기긴장도</v>
      </c>
      <c r="AA127" s="43" t="str">
        <f aca="false">INDEX('포지션 정의'!$L$2:$L$9,MATCH(V127,'포지션 정의'!$D$2:$D$9,0))</f>
        <v>크리스티아누 호날두 · 루카 모드리치 · 버질 반 다이크</v>
      </c>
      <c r="AB127" s="24" t="n">
        <f aca="false">ROUND(100*(1-SQRT(((S127-'포지션 정의'!$N$2)^2+(T127-'포지션 정의'!$O$2)^2+(U127-'포지션 정의'!$P$2)^2)/3)/'판정 기준'!$B$7),0)</f>
        <v>76</v>
      </c>
      <c r="AC127" s="24" t="n">
        <f aca="false">ROUND(100*(1-SQRT(((S127-'포지션 정의'!$N$3)^2+(T127-'포지션 정의'!$O$3)^2+(U127-'포지션 정의'!$P$3)^2)/3)/'판정 기준'!$B$7),0)</f>
        <v>79</v>
      </c>
      <c r="AD127" s="24" t="n">
        <f aca="false">ROUND(100*(1-SQRT(((S127-'포지션 정의'!$N$4)^2+(T127-'포지션 정의'!$O$4)^2+(U127-'포지션 정의'!$P$4)^2)/3)/'판정 기준'!$B$7),0)</f>
        <v>76</v>
      </c>
      <c r="AE127" s="24" t="n">
        <f aca="false">ROUND(100*(1-SQRT(((S127-'포지션 정의'!$N$5)^2+(T127-'포지션 정의'!$O$5)^2+(U127-'포지션 정의'!$P$5)^2)/3)/'판정 기준'!$B$7),0)</f>
        <v>87</v>
      </c>
      <c r="AF127" s="24" t="n">
        <f aca="false">ROUND(100*(1-SQRT(((S127-'포지션 정의'!$N$6)^2+(T127-'포지션 정의'!$O$6)^2+(U127-'포지션 정의'!$P$6)^2)/3)/'판정 기준'!$B$7),0)</f>
        <v>83</v>
      </c>
      <c r="AG127" s="24" t="n">
        <f aca="false">ROUND(100*(1-SQRT(((S127-'포지션 정의'!$N$7)^2+(T127-'포지션 정의'!$O$7)^2+(U127-'포지션 정의'!$P$7)^2)/3)/'판정 기준'!$B$7),0)</f>
        <v>87</v>
      </c>
      <c r="AH127" s="24" t="n">
        <f aca="false">ROUND(100*(1-SQRT(((S127-'포지션 정의'!$N$8)^2+(T127-'포지션 정의'!$O$8)^2+(U127-'포지션 정의'!$P$8)^2)/3)/'판정 기준'!$B$7),0)</f>
        <v>74</v>
      </c>
      <c r="AI127" s="24" t="n">
        <f aca="false">ROUND(100*(1-SQRT(((S127-'포지션 정의'!$N$9)^2+(T127-'포지션 정의'!$O$9)^2+(U127-'포지션 정의'!$P$9)^2)/3)/'판정 기준'!$B$7),0)</f>
        <v>93</v>
      </c>
      <c r="AJ127" s="23" t="str">
        <f aca="false">IF(G127&gt;='판정 기준'!$B$8,"경기긴장도, ","")&amp;IF(Q127&gt;='판정 기준'!$B$8,"사회적 도움 활용, ","")&amp;IF(K127&gt;='판정 기준'!$B$8,"경기 준비 능력, ","")&amp;IF(N127&gt;='판정 기준'!$B$8,"실수 후 회복력, ","")&amp;IF(P127&gt;='판정 기준'!$B$8,"자기 통제력, ","")</f>
        <v>사회적 도움 활용, 경기 준비 능력, 실수 후 회복력, 자기 통제력, </v>
      </c>
      <c r="AK127" s="23" t="n">
        <f aca="false">IF(AND(G127&lt;'판정 기준'!$B$8,OR(AJ127&lt;&gt;"",AP127&lt;&gt;"경기긴장도")),G127,0)</f>
        <v>4.4</v>
      </c>
      <c r="AL127" s="23" t="n">
        <f aca="false">IF(AND(Q127&lt;'판정 기준'!$B$8,OR(AJ127&lt;&gt;"",AP127&lt;&gt;"사회적 도움 활용")),Q127,0)</f>
        <v>0</v>
      </c>
      <c r="AM127" s="23" t="n">
        <f aca="false">IF(AND(K127&lt;'판정 기준'!$B$8,OR(AJ127&lt;&gt;"",AP127&lt;&gt;"경기 준비 능력")),K127,0)</f>
        <v>0</v>
      </c>
      <c r="AN127" s="23" t="n">
        <f aca="false">IF(AND(N127&lt;'판정 기준'!$B$8,OR(AJ127&lt;&gt;"",AP127&lt;&gt;"실수 후 회복력")),N127,0)</f>
        <v>0</v>
      </c>
      <c r="AO127" s="23" t="n">
        <f aca="false">IF(AND(P127&lt;'판정 기준'!$B$8,OR(AJ127&lt;&gt;"",AP127&lt;&gt;"자기 통제력")),P127,0)</f>
        <v>0</v>
      </c>
      <c r="AP127" s="23" t="str">
        <f aca="false">IF(Q127=MAX(G127,Q127,K127,N127,P127),"사회적 도움 활용",IF(P127=MAX(G127,Q127,K127,N127,P127),"자기 통제력",IF(G127=MAX(G127,Q127,K127,N127,P127),"경기긴장도",IF(K127=MAX(G127,Q127,K127,N127,P127),"경기 준비 능력","실수 후 회복력"))))</f>
        <v>실수 후 회복력</v>
      </c>
    </row>
    <row r="128" customFormat="false" ht="17.15" hidden="false" customHeight="false" outlineLevel="0" collapsed="false">
      <c r="A128" s="13" t="s">
        <v>345</v>
      </c>
      <c r="B128" s="13" t="s">
        <v>187</v>
      </c>
      <c r="C128" s="41" t="s">
        <v>338</v>
      </c>
      <c r="D128" s="14" t="n">
        <v>46154</v>
      </c>
      <c r="E128" s="41" t="s">
        <v>195</v>
      </c>
      <c r="F128" s="42" t="n">
        <v>4.5</v>
      </c>
      <c r="G128" s="42" t="n">
        <v>4.1</v>
      </c>
      <c r="H128" s="42" t="n">
        <v>3.8</v>
      </c>
      <c r="I128" s="42" t="n">
        <v>4.4</v>
      </c>
      <c r="J128" s="42" t="n">
        <v>3.8</v>
      </c>
      <c r="K128" s="42" t="n">
        <v>4.6</v>
      </c>
      <c r="L128" s="42" t="n">
        <v>4.5</v>
      </c>
      <c r="M128" s="42" t="n">
        <v>4.7</v>
      </c>
      <c r="N128" s="42" t="n">
        <v>4.9</v>
      </c>
      <c r="O128" s="42" t="n">
        <v>4.8</v>
      </c>
      <c r="P128" s="42" t="n">
        <v>4.2</v>
      </c>
      <c r="Q128" s="42" t="n">
        <v>5.6</v>
      </c>
      <c r="R128" s="42" t="n">
        <v>5.7</v>
      </c>
      <c r="S128" s="37" t="n">
        <f aca="false">AVERAGE(G128:J128)</f>
        <v>4.025</v>
      </c>
      <c r="T128" s="37" t="n">
        <f aca="false">AVERAGE(K128:M128)</f>
        <v>4.6</v>
      </c>
      <c r="U128" s="37" t="n">
        <f aca="false">AVERAGE(N128:O128)</f>
        <v>4.85</v>
      </c>
      <c r="V128" s="23" t="str">
        <f aca="false">IF(S128&gt;='판정 기준'!$B$3,"H","L")&amp;IF(T128&gt;='판정 기준'!$B$3,"H","L")&amp;IF(U128&gt;='판정 기준'!$B$3,"H","L")</f>
        <v>LHH</v>
      </c>
      <c r="W128" s="36" t="str">
        <f aca="false">INDEX('포지션 정의'!$A$2:$A$9,MATCH(V128,'포지션 정의'!$D$2:$D$9,0))</f>
        <v>F</v>
      </c>
      <c r="X128" s="36" t="str">
        <f aca="false">INDEX('포지션 정의'!$B$2:$B$9,MATCH(V128,'포지션 정의'!$D$2:$D$9,0))</f>
        <v>성실한 도전자형</v>
      </c>
      <c r="Y128" s="43" t="str">
        <f aca="false">IF(AJ128="","가장 높은 지표: "&amp;AP128,LEFT(AJ128,LEN(AJ128)-2))</f>
        <v>사회적 도움 활용, 실수 후 회복력</v>
      </c>
      <c r="Z128" s="43" t="str">
        <f aca="false">IF(MAX(AK128:AO128)=0,"심화: "&amp;IF(N128=MIN(G128,Q128,K128,N128,P128),"실수 후 회복력",IF(K128=MIN(G128,Q128,K128,N128,P128),"경기 준비 능력",IF(G128=MIN(G128,Q128,K128,N128,P128),"경기긴장도",IF(P128=MIN(G128,Q128,K128,N128,P128),"자기 통제력","사회적 도움 활용")))),IF(MAX(AK128:AO128)&gt;='판정 기준'!$B$8-'판정 기준'!$B$4,IF(AN128=MAX(AK128:AO128),"실수 후 회복력",IF(AM128=MAX(AK128:AO128),"경기 준비 능력",IF(AK128=MAX(AK128:AO128),"경기긴장도",IF(AO128=MAX(AK128:AO128),"자기 통제력","사회적 도움 활용")))),IF(AN128&gt;0,"실수 후 회복력",IF(AM128&gt;0,"경기 준비 능력",IF(AK128&gt;0,"경기긴장도",IF(AO128&gt;0,"자기 통제력","사회적 도움 활용"))))))</f>
        <v>경기 준비 능력</v>
      </c>
      <c r="AA128" s="43" t="str">
        <f aca="false">INDEX('포지션 정의'!$L$2:$L$9,MATCH(V128,'포지션 정의'!$D$2:$D$9,0))</f>
        <v>제이미 바디 · 은골로 캉테 · 박지성</v>
      </c>
      <c r="AB128" s="24" t="n">
        <f aca="false">ROUND(100*(1-SQRT(((S128-'포지션 정의'!$N$2)^2+(T128-'포지션 정의'!$O$2)^2+(U128-'포지션 정의'!$P$2)^2)/3)/'판정 기준'!$B$7),0)</f>
        <v>86</v>
      </c>
      <c r="AC128" s="24" t="n">
        <f aca="false">ROUND(100*(1-SQRT(((S128-'포지션 정의'!$N$3)^2+(T128-'포지션 정의'!$O$3)^2+(U128-'포지션 정의'!$P$3)^2)/3)/'판정 기준'!$B$7),0)</f>
        <v>81</v>
      </c>
      <c r="AD128" s="24" t="n">
        <f aca="false">ROUND(100*(1-SQRT(((S128-'포지션 정의'!$N$4)^2+(T128-'포지션 정의'!$O$4)^2+(U128-'포지션 정의'!$P$4)^2)/3)/'판정 기준'!$B$7),0)</f>
        <v>80</v>
      </c>
      <c r="AE128" s="24" t="n">
        <f aca="false">ROUND(100*(1-SQRT(((S128-'포지션 정의'!$N$5)^2+(T128-'포지션 정의'!$O$5)^2+(U128-'포지션 정의'!$P$5)^2)/3)/'판정 기준'!$B$7),0)</f>
        <v>83</v>
      </c>
      <c r="AF128" s="24" t="n">
        <f aca="false">ROUND(100*(1-SQRT(((S128-'포지션 정의'!$N$6)^2+(T128-'포지션 정의'!$O$6)^2+(U128-'포지션 정의'!$P$6)^2)/3)/'판정 기준'!$B$7),0)</f>
        <v>90</v>
      </c>
      <c r="AG128" s="24" t="n">
        <f aca="false">ROUND(100*(1-SQRT(((S128-'포지션 정의'!$N$7)^2+(T128-'포지션 정의'!$O$7)^2+(U128-'포지션 정의'!$P$7)^2)/3)/'판정 기준'!$B$7),0)</f>
        <v>92</v>
      </c>
      <c r="AH128" s="24" t="n">
        <f aca="false">ROUND(100*(1-SQRT(((S128-'포지션 정의'!$N$8)^2+(T128-'포지션 정의'!$O$8)^2+(U128-'포지션 정의'!$P$8)^2)/3)/'판정 기준'!$B$7),0)</f>
        <v>85</v>
      </c>
      <c r="AI128" s="24" t="n">
        <f aca="false">ROUND(100*(1-SQRT(((S128-'포지션 정의'!$N$9)^2+(T128-'포지션 정의'!$O$9)^2+(U128-'포지션 정의'!$P$9)^2)/3)/'판정 기준'!$B$7),0)</f>
        <v>84</v>
      </c>
      <c r="AJ128" s="23" t="str">
        <f aca="false">IF(G128&gt;='판정 기준'!$B$8,"경기긴장도, ","")&amp;IF(Q128&gt;='판정 기준'!$B$8,"사회적 도움 활용, ","")&amp;IF(K128&gt;='판정 기준'!$B$8,"경기 준비 능력, ","")&amp;IF(N128&gt;='판정 기준'!$B$8,"실수 후 회복력, ","")&amp;IF(P128&gt;='판정 기준'!$B$8,"자기 통제력, ","")</f>
        <v>사회적 도움 활용, 실수 후 회복력, </v>
      </c>
      <c r="AK128" s="23" t="n">
        <f aca="false">IF(AND(G128&lt;'판정 기준'!$B$8,OR(AJ128&lt;&gt;"",AP128&lt;&gt;"경기긴장도")),G128,0)</f>
        <v>4.1</v>
      </c>
      <c r="AL128" s="23" t="n">
        <f aca="false">IF(AND(Q128&lt;'판정 기준'!$B$8,OR(AJ128&lt;&gt;"",AP128&lt;&gt;"사회적 도움 활용")),Q128,0)</f>
        <v>0</v>
      </c>
      <c r="AM128" s="23" t="n">
        <f aca="false">IF(AND(K128&lt;'판정 기준'!$B$8,OR(AJ128&lt;&gt;"",AP128&lt;&gt;"경기 준비 능력")),K128,0)</f>
        <v>4.6</v>
      </c>
      <c r="AN128" s="23" t="n">
        <f aca="false">IF(AND(N128&lt;'판정 기준'!$B$8,OR(AJ128&lt;&gt;"",AP128&lt;&gt;"실수 후 회복력")),N128,0)</f>
        <v>0</v>
      </c>
      <c r="AO128" s="23" t="n">
        <f aca="false">IF(AND(P128&lt;'판정 기준'!$B$8,OR(AJ128&lt;&gt;"",AP128&lt;&gt;"자기 통제력")),P128,0)</f>
        <v>4.2</v>
      </c>
      <c r="AP128" s="23" t="str">
        <f aca="false">IF(Q128=MAX(G128,Q128,K128,N128,P128),"사회적 도움 활용",IF(P128=MAX(G128,Q128,K128,N128,P128),"자기 통제력",IF(G128=MAX(G128,Q128,K128,N128,P128),"경기긴장도",IF(K128=MAX(G128,Q128,K128,N128,P128),"경기 준비 능력","실수 후 회복력"))))</f>
        <v>사회적 도움 활용</v>
      </c>
    </row>
    <row r="129" customFormat="false" ht="17.15" hidden="false" customHeight="false" outlineLevel="0" collapsed="false">
      <c r="A129" s="13" t="s">
        <v>346</v>
      </c>
      <c r="B129" s="13" t="s">
        <v>187</v>
      </c>
      <c r="C129" s="41" t="s">
        <v>338</v>
      </c>
      <c r="D129" s="14" t="n">
        <v>46154</v>
      </c>
      <c r="E129" s="41" t="s">
        <v>195</v>
      </c>
      <c r="F129" s="42" t="n">
        <v>3.7</v>
      </c>
      <c r="G129" s="42" t="n">
        <v>3.3</v>
      </c>
      <c r="H129" s="42" t="n">
        <v>2.2</v>
      </c>
      <c r="I129" s="42" t="n">
        <v>4.6</v>
      </c>
      <c r="J129" s="42" t="n">
        <v>2.3</v>
      </c>
      <c r="K129" s="42" t="n">
        <v>4.9</v>
      </c>
      <c r="L129" s="42" t="n">
        <v>4.7</v>
      </c>
      <c r="M129" s="42" t="n">
        <v>5.1</v>
      </c>
      <c r="N129" s="42" t="n">
        <v>2</v>
      </c>
      <c r="O129" s="42" t="n">
        <v>2.2</v>
      </c>
      <c r="P129" s="42" t="n">
        <v>5.2</v>
      </c>
      <c r="Q129" s="42" t="n">
        <v>6</v>
      </c>
      <c r="R129" s="42" t="n">
        <v>4.3</v>
      </c>
      <c r="S129" s="37" t="n">
        <f aca="false">AVERAGE(G129:J129)</f>
        <v>3.1</v>
      </c>
      <c r="T129" s="37" t="n">
        <f aca="false">AVERAGE(K129:M129)</f>
        <v>4.9</v>
      </c>
      <c r="U129" s="37" t="n">
        <f aca="false">AVERAGE(N129:O129)</f>
        <v>2.1</v>
      </c>
      <c r="V129" s="23" t="str">
        <f aca="false">IF(S129&gt;='판정 기준'!$B$3,"H","L")&amp;IF(T129&gt;='판정 기준'!$B$3,"H","L")&amp;IF(U129&gt;='판정 기준'!$B$3,"H","L")</f>
        <v>LHL</v>
      </c>
      <c r="W129" s="36" t="str">
        <f aca="false">INDEX('포지션 정의'!$A$2:$A$9,MATCH(V129,'포지션 정의'!$D$2:$D$9,0))</f>
        <v>A</v>
      </c>
      <c r="X129" s="36" t="str">
        <f aca="false">INDEX('포지션 정의'!$B$2:$B$9,MATCH(V129,'포지션 정의'!$D$2:$D$9,0))</f>
        <v>섬세한 준비형</v>
      </c>
      <c r="Y129" s="43" t="str">
        <f aca="false">IF(AJ129="","가장 높은 지표: "&amp;AP129,LEFT(AJ129,LEN(AJ129)-2))</f>
        <v>사회적 도움 활용, 경기 준비 능력, 자기 통제력</v>
      </c>
      <c r="Z129" s="43" t="str">
        <f aca="false">IF(MAX(AK129:AO129)=0,"심화: "&amp;IF(N129=MIN(G129,Q129,K129,N129,P129),"실수 후 회복력",IF(K129=MIN(G129,Q129,K129,N129,P129),"경기 준비 능력",IF(G129=MIN(G129,Q129,K129,N129,P129),"경기긴장도",IF(P129=MIN(G129,Q129,K129,N129,P129),"자기 통제력","사회적 도움 활용")))),IF(MAX(AK129:AO129)&gt;='판정 기준'!$B$8-'판정 기준'!$B$4,IF(AN129=MAX(AK129:AO129),"실수 후 회복력",IF(AM129=MAX(AK129:AO129),"경기 준비 능력",IF(AK129=MAX(AK129:AO129),"경기긴장도",IF(AO129=MAX(AK129:AO129),"자기 통제력","사회적 도움 활용")))),IF(AN129&gt;0,"실수 후 회복력",IF(AM129&gt;0,"경기 준비 능력",IF(AK129&gt;0,"경기긴장도",IF(AO129&gt;0,"자기 통제력","사회적 도움 활용"))))))</f>
        <v>실수 후 회복력</v>
      </c>
      <c r="AA129" s="43" t="str">
        <f aca="false">INDEX('포지션 정의'!$L$2:$L$9,MATCH(V129,'포지션 정의'!$D$2:$D$9,0))</f>
        <v>로베르트 레반도프스키 · 제임스 밀너 · 마르틴 외데고르</v>
      </c>
      <c r="AB129" s="24" t="n">
        <f aca="false">ROUND(100*(1-SQRT(((S129-'포지션 정의'!$N$2)^2+(T129-'포지션 정의'!$O$2)^2+(U129-'포지션 정의'!$P$2)^2)/3)/'판정 기준'!$B$7),0)</f>
        <v>78</v>
      </c>
      <c r="AC129" s="24" t="n">
        <f aca="false">ROUND(100*(1-SQRT(((S129-'포지션 정의'!$N$3)^2+(T129-'포지션 정의'!$O$3)^2+(U129-'포지션 정의'!$P$3)^2)/3)/'판정 기준'!$B$7),0)</f>
        <v>69</v>
      </c>
      <c r="AD129" s="24" t="n">
        <f aca="false">ROUND(100*(1-SQRT(((S129-'포지션 정의'!$N$4)^2+(T129-'포지션 정의'!$O$4)^2+(U129-'포지션 정의'!$P$4)^2)/3)/'판정 기준'!$B$7),0)</f>
        <v>66</v>
      </c>
      <c r="AE129" s="24" t="n">
        <f aca="false">ROUND(100*(1-SQRT(((S129-'포지션 정의'!$N$5)^2+(T129-'포지션 정의'!$O$5)^2+(U129-'포지션 정의'!$P$5)^2)/3)/'판정 기준'!$B$7),0)</f>
        <v>55</v>
      </c>
      <c r="AF129" s="24" t="n">
        <f aca="false">ROUND(100*(1-SQRT(((S129-'포지션 정의'!$N$6)^2+(T129-'포지션 정의'!$O$6)^2+(U129-'포지션 정의'!$P$6)^2)/3)/'판정 기준'!$B$7),0)</f>
        <v>61</v>
      </c>
      <c r="AG129" s="24" t="n">
        <f aca="false">ROUND(100*(1-SQRT(((S129-'포지션 정의'!$N$7)^2+(T129-'포지션 정의'!$O$7)^2+(U129-'포지션 정의'!$P$7)^2)/3)/'판정 기준'!$B$7),0)</f>
        <v>63</v>
      </c>
      <c r="AH129" s="24" t="n">
        <f aca="false">ROUND(100*(1-SQRT(((S129-'포지션 정의'!$N$8)^2+(T129-'포지션 정의'!$O$8)^2+(U129-'포지션 정의'!$P$8)^2)/3)/'판정 기준'!$B$7),0)</f>
        <v>75</v>
      </c>
      <c r="AI129" s="24" t="n">
        <f aca="false">ROUND(100*(1-SQRT(((S129-'포지션 정의'!$N$9)^2+(T129-'포지션 정의'!$O$9)^2+(U129-'포지션 정의'!$P$9)^2)/3)/'판정 기준'!$B$7),0)</f>
        <v>57</v>
      </c>
      <c r="AJ129" s="23" t="str">
        <f aca="false">IF(G129&gt;='판정 기준'!$B$8,"경기긴장도, ","")&amp;IF(Q129&gt;='판정 기준'!$B$8,"사회적 도움 활용, ","")&amp;IF(K129&gt;='판정 기준'!$B$8,"경기 준비 능력, ","")&amp;IF(N129&gt;='판정 기준'!$B$8,"실수 후 회복력, ","")&amp;IF(P129&gt;='판정 기준'!$B$8,"자기 통제력, ","")</f>
        <v>사회적 도움 활용, 경기 준비 능력, 자기 통제력, </v>
      </c>
      <c r="AK129" s="23" t="n">
        <f aca="false">IF(AND(G129&lt;'판정 기준'!$B$8,OR(AJ129&lt;&gt;"",AP129&lt;&gt;"경기긴장도")),G129,0)</f>
        <v>3.3</v>
      </c>
      <c r="AL129" s="23" t="n">
        <f aca="false">IF(AND(Q129&lt;'판정 기준'!$B$8,OR(AJ129&lt;&gt;"",AP129&lt;&gt;"사회적 도움 활용")),Q129,0)</f>
        <v>0</v>
      </c>
      <c r="AM129" s="23" t="n">
        <f aca="false">IF(AND(K129&lt;'판정 기준'!$B$8,OR(AJ129&lt;&gt;"",AP129&lt;&gt;"경기 준비 능력")),K129,0)</f>
        <v>0</v>
      </c>
      <c r="AN129" s="23" t="n">
        <f aca="false">IF(AND(N129&lt;'판정 기준'!$B$8,OR(AJ129&lt;&gt;"",AP129&lt;&gt;"실수 후 회복력")),N129,0)</f>
        <v>2</v>
      </c>
      <c r="AO129" s="23" t="n">
        <f aca="false">IF(AND(P129&lt;'판정 기준'!$B$8,OR(AJ129&lt;&gt;"",AP129&lt;&gt;"자기 통제력")),P129,0)</f>
        <v>0</v>
      </c>
      <c r="AP129" s="23" t="str">
        <f aca="false">IF(Q129=MAX(G129,Q129,K129,N129,P129),"사회적 도움 활용",IF(P129=MAX(G129,Q129,K129,N129,P129),"자기 통제력",IF(G129=MAX(G129,Q129,K129,N129,P129),"경기긴장도",IF(K129=MAX(G129,Q129,K129,N129,P129),"경기 준비 능력","실수 후 회복력"))))</f>
        <v>사회적 도움 활용</v>
      </c>
    </row>
    <row r="130" customFormat="false" ht="17.15" hidden="false" customHeight="false" outlineLevel="0" collapsed="false">
      <c r="A130" s="13" t="s">
        <v>347</v>
      </c>
      <c r="B130" s="13" t="s">
        <v>187</v>
      </c>
      <c r="C130" s="41" t="s">
        <v>338</v>
      </c>
      <c r="D130" s="14" t="n">
        <v>46154</v>
      </c>
      <c r="E130" s="41" t="s">
        <v>195</v>
      </c>
      <c r="F130" s="42" t="n">
        <v>3.9</v>
      </c>
      <c r="G130" s="42" t="n">
        <v>4.3</v>
      </c>
      <c r="H130" s="42" t="n">
        <v>4.2</v>
      </c>
      <c r="I130" s="42" t="n">
        <v>4</v>
      </c>
      <c r="J130" s="42" t="n">
        <v>4.2</v>
      </c>
      <c r="K130" s="42" t="n">
        <v>4.2</v>
      </c>
      <c r="L130" s="42" t="n">
        <v>3.8</v>
      </c>
      <c r="M130" s="42" t="n">
        <v>4.4</v>
      </c>
      <c r="N130" s="42" t="n">
        <v>3.1</v>
      </c>
      <c r="O130" s="42" t="n">
        <v>3.3</v>
      </c>
      <c r="P130" s="42" t="n">
        <v>4.2</v>
      </c>
      <c r="Q130" s="42" t="n">
        <v>5.4</v>
      </c>
      <c r="R130" s="42" t="n">
        <v>6</v>
      </c>
      <c r="S130" s="37" t="n">
        <f aca="false">AVERAGE(G130:J130)</f>
        <v>4.175</v>
      </c>
      <c r="T130" s="37" t="n">
        <f aca="false">AVERAGE(K130:M130)</f>
        <v>4.13333333333333</v>
      </c>
      <c r="U130" s="37" t="n">
        <f aca="false">AVERAGE(N130:O130)</f>
        <v>3.2</v>
      </c>
      <c r="V130" s="23" t="str">
        <f aca="false">IF(S130&gt;='판정 기준'!$B$3,"H","L")&amp;IF(T130&gt;='판정 기준'!$B$3,"H","L")&amp;IF(U130&gt;='판정 기준'!$B$3,"H","L")</f>
        <v>LLL</v>
      </c>
      <c r="W130" s="36" t="str">
        <f aca="false">INDEX('포지션 정의'!$A$2:$A$9,MATCH(V130,'포지션 정의'!$D$2:$D$9,0))</f>
        <v>G</v>
      </c>
      <c r="X130" s="36" t="str">
        <f aca="false">INDEX('포지션 정의'!$B$2:$B$9,MATCH(V130,'포지션 정의'!$D$2:$D$9,0))</f>
        <v>스펀지 흡수형</v>
      </c>
      <c r="Y130" s="43" t="str">
        <f aca="false">IF(AJ130="","가장 높은 지표: "&amp;AP130,LEFT(AJ130,LEN(AJ130)-2))</f>
        <v>사회적 도움 활용</v>
      </c>
      <c r="Z130" s="43" t="str">
        <f aca="false">IF(MAX(AK130:AO130)=0,"심화: "&amp;IF(N130=MIN(G130,Q130,K130,N130,P130),"실수 후 회복력",IF(K130=MIN(G130,Q130,K130,N130,P130),"경기 준비 능력",IF(G130=MIN(G130,Q130,K130,N130,P130),"경기긴장도",IF(P130=MIN(G130,Q130,K130,N130,P130),"자기 통제력","사회적 도움 활용")))),IF(MAX(AK130:AO130)&gt;='판정 기준'!$B$8-'판정 기준'!$B$4,IF(AN130=MAX(AK130:AO130),"실수 후 회복력",IF(AM130=MAX(AK130:AO130),"경기 준비 능력",IF(AK130=MAX(AK130:AO130),"경기긴장도",IF(AO130=MAX(AK130:AO130),"자기 통제력","사회적 도움 활용")))),IF(AN130&gt;0,"실수 후 회복력",IF(AM130&gt;0,"경기 준비 능력",IF(AK130&gt;0,"경기긴장도",IF(AO130&gt;0,"자기 통제력","사회적 도움 활용"))))))</f>
        <v>실수 후 회복력</v>
      </c>
      <c r="AA130" s="43" t="str">
        <f aca="false">INDEX('포지션 정의'!$L$2:$L$9,MATCH(V130,'포지션 정의'!$D$2:$D$9,0))</f>
        <v>디디에 드로그바 · 앙투안 그리즈만 · 모하메드 살라</v>
      </c>
      <c r="AB130" s="24" t="n">
        <f aca="false">ROUND(100*(1-SQRT(((S130-'포지션 정의'!$N$2)^2+(T130-'포지션 정의'!$O$2)^2+(U130-'포지션 정의'!$P$2)^2)/3)/'판정 기준'!$B$7),0)</f>
        <v>85</v>
      </c>
      <c r="AC130" s="24" t="n">
        <f aca="false">ROUND(100*(1-SQRT(((S130-'포지션 정의'!$N$3)^2+(T130-'포지션 정의'!$O$3)^2+(U130-'포지션 정의'!$P$3)^2)/3)/'판정 기준'!$B$7),0)</f>
        <v>82</v>
      </c>
      <c r="AD130" s="24" t="n">
        <f aca="false">ROUND(100*(1-SQRT(((S130-'포지션 정의'!$N$4)^2+(T130-'포지션 정의'!$O$4)^2+(U130-'포지션 정의'!$P$4)^2)/3)/'판정 기준'!$B$7),0)</f>
        <v>86</v>
      </c>
      <c r="AE130" s="24" t="n">
        <f aca="false">ROUND(100*(1-SQRT(((S130-'포지션 정의'!$N$5)^2+(T130-'포지션 정의'!$O$5)^2+(U130-'포지션 정의'!$P$5)^2)/3)/'판정 기준'!$B$7),0)</f>
        <v>74</v>
      </c>
      <c r="AF130" s="24" t="n">
        <f aca="false">ROUND(100*(1-SQRT(((S130-'포지션 정의'!$N$6)^2+(T130-'포지션 정의'!$O$6)^2+(U130-'포지션 정의'!$P$6)^2)/3)/'판정 기준'!$B$7),0)</f>
        <v>76</v>
      </c>
      <c r="AG130" s="24" t="n">
        <f aca="false">ROUND(100*(1-SQRT(((S130-'포지션 정의'!$N$7)^2+(T130-'포지션 정의'!$O$7)^2+(U130-'포지션 정의'!$P$7)^2)/3)/'판정 기준'!$B$7),0)</f>
        <v>73</v>
      </c>
      <c r="AH130" s="24" t="n">
        <f aca="false">ROUND(100*(1-SQRT(((S130-'포지션 정의'!$N$8)^2+(T130-'포지션 정의'!$O$8)^2+(U130-'포지션 정의'!$P$8)^2)/3)/'판정 기준'!$B$7),0)</f>
        <v>91</v>
      </c>
      <c r="AI130" s="24" t="n">
        <f aca="false">ROUND(100*(1-SQRT(((S130-'포지션 정의'!$N$9)^2+(T130-'포지션 정의'!$O$9)^2+(U130-'포지션 정의'!$P$9)^2)/3)/'판정 기준'!$B$7),0)</f>
        <v>71</v>
      </c>
      <c r="AJ130" s="23" t="str">
        <f aca="false">IF(G130&gt;='판정 기준'!$B$8,"경기긴장도, ","")&amp;IF(Q130&gt;='판정 기준'!$B$8,"사회적 도움 활용, ","")&amp;IF(K130&gt;='판정 기준'!$B$8,"경기 준비 능력, ","")&amp;IF(N130&gt;='판정 기준'!$B$8,"실수 후 회복력, ","")&amp;IF(P130&gt;='판정 기준'!$B$8,"자기 통제력, ","")</f>
        <v>사회적 도움 활용, </v>
      </c>
      <c r="AK130" s="23" t="n">
        <f aca="false">IF(AND(G130&lt;'판정 기준'!$B$8,OR(AJ130&lt;&gt;"",AP130&lt;&gt;"경기긴장도")),G130,0)</f>
        <v>4.3</v>
      </c>
      <c r="AL130" s="23" t="n">
        <f aca="false">IF(AND(Q130&lt;'판정 기준'!$B$8,OR(AJ130&lt;&gt;"",AP130&lt;&gt;"사회적 도움 활용")),Q130,0)</f>
        <v>0</v>
      </c>
      <c r="AM130" s="23" t="n">
        <f aca="false">IF(AND(K130&lt;'판정 기준'!$B$8,OR(AJ130&lt;&gt;"",AP130&lt;&gt;"경기 준비 능력")),K130,0)</f>
        <v>4.2</v>
      </c>
      <c r="AN130" s="23" t="n">
        <f aca="false">IF(AND(N130&lt;'판정 기준'!$B$8,OR(AJ130&lt;&gt;"",AP130&lt;&gt;"실수 후 회복력")),N130,0)</f>
        <v>3.1</v>
      </c>
      <c r="AO130" s="23" t="n">
        <f aca="false">IF(AND(P130&lt;'판정 기준'!$B$8,OR(AJ130&lt;&gt;"",AP130&lt;&gt;"자기 통제력")),P130,0)</f>
        <v>4.2</v>
      </c>
      <c r="AP130" s="23" t="str">
        <f aca="false">IF(Q130=MAX(G130,Q130,K130,N130,P130),"사회적 도움 활용",IF(P130=MAX(G130,Q130,K130,N130,P130),"자기 통제력",IF(G130=MAX(G130,Q130,K130,N130,P130),"경기긴장도",IF(K130=MAX(G130,Q130,K130,N130,P130),"경기 준비 능력","실수 후 회복력"))))</f>
        <v>사회적 도움 활용</v>
      </c>
    </row>
    <row r="131" customFormat="false" ht="17.15" hidden="false" customHeight="false" outlineLevel="0" collapsed="false">
      <c r="A131" s="13" t="s">
        <v>348</v>
      </c>
      <c r="B131" s="13" t="s">
        <v>187</v>
      </c>
      <c r="C131" s="41" t="s">
        <v>338</v>
      </c>
      <c r="D131" s="14" t="n">
        <v>46154</v>
      </c>
      <c r="E131" s="41" t="s">
        <v>195</v>
      </c>
      <c r="F131" s="42" t="n">
        <v>3.7</v>
      </c>
      <c r="G131" s="42" t="n">
        <v>4</v>
      </c>
      <c r="H131" s="42" t="n">
        <v>4</v>
      </c>
      <c r="I131" s="42" t="n">
        <v>4.2</v>
      </c>
      <c r="J131" s="42" t="n">
        <v>3.8</v>
      </c>
      <c r="K131" s="42" t="n">
        <v>4.8</v>
      </c>
      <c r="L131" s="42" t="n">
        <v>4.8</v>
      </c>
      <c r="M131" s="42" t="n">
        <v>4.7</v>
      </c>
      <c r="N131" s="42" t="n">
        <v>2.7</v>
      </c>
      <c r="O131" s="42" t="n">
        <v>3</v>
      </c>
      <c r="P131" s="42" t="n">
        <v>3.3</v>
      </c>
      <c r="Q131" s="42" t="n">
        <v>5.2</v>
      </c>
      <c r="R131" s="42" t="n">
        <v>4.3</v>
      </c>
      <c r="S131" s="37" t="n">
        <f aca="false">AVERAGE(G131:J131)</f>
        <v>4</v>
      </c>
      <c r="T131" s="37" t="n">
        <f aca="false">AVERAGE(K131:M131)</f>
        <v>4.76666666666667</v>
      </c>
      <c r="U131" s="37" t="n">
        <f aca="false">AVERAGE(N131:O131)</f>
        <v>2.85</v>
      </c>
      <c r="V131" s="23" t="str">
        <f aca="false">IF(S131&gt;='판정 기준'!$B$3,"H","L")&amp;IF(T131&gt;='판정 기준'!$B$3,"H","L")&amp;IF(U131&gt;='판정 기준'!$B$3,"H","L")</f>
        <v>LHL</v>
      </c>
      <c r="W131" s="36" t="str">
        <f aca="false">INDEX('포지션 정의'!$A$2:$A$9,MATCH(V131,'포지션 정의'!$D$2:$D$9,0))</f>
        <v>A</v>
      </c>
      <c r="X131" s="36" t="str">
        <f aca="false">INDEX('포지션 정의'!$B$2:$B$9,MATCH(V131,'포지션 정의'!$D$2:$D$9,0))</f>
        <v>섬세한 준비형</v>
      </c>
      <c r="Y131" s="43" t="str">
        <f aca="false">IF(AJ131="","가장 높은 지표: "&amp;AP131,LEFT(AJ131,LEN(AJ131)-2))</f>
        <v>사회적 도움 활용, 경기 준비 능력</v>
      </c>
      <c r="Z131" s="43" t="str">
        <f aca="false">IF(MAX(AK131:AO131)=0,"심화: "&amp;IF(N131=MIN(G131,Q131,K131,N131,P131),"실수 후 회복력",IF(K131=MIN(G131,Q131,K131,N131,P131),"경기 준비 능력",IF(G131=MIN(G131,Q131,K131,N131,P131),"경기긴장도",IF(P131=MIN(G131,Q131,K131,N131,P131),"자기 통제력","사회적 도움 활용")))),IF(MAX(AK131:AO131)&gt;='판정 기준'!$B$8-'판정 기준'!$B$4,IF(AN131=MAX(AK131:AO131),"실수 후 회복력",IF(AM131=MAX(AK131:AO131),"경기 준비 능력",IF(AK131=MAX(AK131:AO131),"경기긴장도",IF(AO131=MAX(AK131:AO131),"자기 통제력","사회적 도움 활용")))),IF(AN131&gt;0,"실수 후 회복력",IF(AM131&gt;0,"경기 준비 능력",IF(AK131&gt;0,"경기긴장도",IF(AO131&gt;0,"자기 통제력","사회적 도움 활용"))))))</f>
        <v>실수 후 회복력</v>
      </c>
      <c r="AA131" s="43" t="str">
        <f aca="false">INDEX('포지션 정의'!$L$2:$L$9,MATCH(V131,'포지션 정의'!$D$2:$D$9,0))</f>
        <v>로베르트 레반도프스키 · 제임스 밀너 · 마르틴 외데고르</v>
      </c>
      <c r="AB131" s="24" t="n">
        <f aca="false">ROUND(100*(1-SQRT(((S131-'포지션 정의'!$N$2)^2+(T131-'포지션 정의'!$O$2)^2+(U131-'포지션 정의'!$P$2)^2)/3)/'판정 기준'!$B$7),0)</f>
        <v>88</v>
      </c>
      <c r="AC131" s="24" t="n">
        <f aca="false">ROUND(100*(1-SQRT(((S131-'포지션 정의'!$N$3)^2+(T131-'포지션 정의'!$O$3)^2+(U131-'포지션 정의'!$P$3)^2)/3)/'판정 기준'!$B$7),0)</f>
        <v>82</v>
      </c>
      <c r="AD131" s="24" t="n">
        <f aca="false">ROUND(100*(1-SQRT(((S131-'포지션 정의'!$N$4)^2+(T131-'포지션 정의'!$O$4)^2+(U131-'포지션 정의'!$P$4)^2)/3)/'판정 기준'!$B$7),0)</f>
        <v>79</v>
      </c>
      <c r="AE131" s="24" t="n">
        <f aca="false">ROUND(100*(1-SQRT(((S131-'포지션 정의'!$N$5)^2+(T131-'포지션 정의'!$O$5)^2+(U131-'포지션 정의'!$P$5)^2)/3)/'판정 기준'!$B$7),0)</f>
        <v>68</v>
      </c>
      <c r="AF131" s="24" t="n">
        <f aca="false">ROUND(100*(1-SQRT(((S131-'포지션 정의'!$N$6)^2+(T131-'포지션 정의'!$O$6)^2+(U131-'포지션 정의'!$P$6)^2)/3)/'판정 기준'!$B$7),0)</f>
        <v>71</v>
      </c>
      <c r="AG131" s="24" t="n">
        <f aca="false">ROUND(100*(1-SQRT(((S131-'포지션 정의'!$N$7)^2+(T131-'포지션 정의'!$O$7)^2+(U131-'포지션 정의'!$P$7)^2)/3)/'판정 기준'!$B$7),0)</f>
        <v>72</v>
      </c>
      <c r="AH131" s="24" t="n">
        <f aca="false">ROUND(100*(1-SQRT(((S131-'포지션 정의'!$N$8)^2+(T131-'포지션 정의'!$O$8)^2+(U131-'포지션 정의'!$P$8)^2)/3)/'판정 기준'!$B$7),0)</f>
        <v>84</v>
      </c>
      <c r="AI131" s="24" t="n">
        <f aca="false">ROUND(100*(1-SQRT(((S131-'포지션 정의'!$N$9)^2+(T131-'포지션 정의'!$O$9)^2+(U131-'포지션 정의'!$P$9)^2)/3)/'판정 기준'!$B$7),0)</f>
        <v>69</v>
      </c>
      <c r="AJ131" s="23" t="str">
        <f aca="false">IF(G131&gt;='판정 기준'!$B$8,"경기긴장도, ","")&amp;IF(Q131&gt;='판정 기준'!$B$8,"사회적 도움 활용, ","")&amp;IF(K131&gt;='판정 기준'!$B$8,"경기 준비 능력, ","")&amp;IF(N131&gt;='판정 기준'!$B$8,"실수 후 회복력, ","")&amp;IF(P131&gt;='판정 기준'!$B$8,"자기 통제력, ","")</f>
        <v>사회적 도움 활용, 경기 준비 능력, </v>
      </c>
      <c r="AK131" s="23" t="n">
        <f aca="false">IF(AND(G131&lt;'판정 기준'!$B$8,OR(AJ131&lt;&gt;"",AP131&lt;&gt;"경기긴장도")),G131,0)</f>
        <v>4</v>
      </c>
      <c r="AL131" s="23" t="n">
        <f aca="false">IF(AND(Q131&lt;'판정 기준'!$B$8,OR(AJ131&lt;&gt;"",AP131&lt;&gt;"사회적 도움 활용")),Q131,0)</f>
        <v>0</v>
      </c>
      <c r="AM131" s="23" t="n">
        <f aca="false">IF(AND(K131&lt;'판정 기준'!$B$8,OR(AJ131&lt;&gt;"",AP131&lt;&gt;"경기 준비 능력")),K131,0)</f>
        <v>0</v>
      </c>
      <c r="AN131" s="23" t="n">
        <f aca="false">IF(AND(N131&lt;'판정 기준'!$B$8,OR(AJ131&lt;&gt;"",AP131&lt;&gt;"실수 후 회복력")),N131,0)</f>
        <v>2.7</v>
      </c>
      <c r="AO131" s="23" t="n">
        <f aca="false">IF(AND(P131&lt;'판정 기준'!$B$8,OR(AJ131&lt;&gt;"",AP131&lt;&gt;"자기 통제력")),P131,0)</f>
        <v>3.3</v>
      </c>
      <c r="AP131" s="23" t="str">
        <f aca="false">IF(Q131=MAX(G131,Q131,K131,N131,P131),"사회적 도움 활용",IF(P131=MAX(G131,Q131,K131,N131,P131),"자기 통제력",IF(G131=MAX(G131,Q131,K131,N131,P131),"경기긴장도",IF(K131=MAX(G131,Q131,K131,N131,P131),"경기 준비 능력","실수 후 회복력"))))</f>
        <v>사회적 도움 활용</v>
      </c>
    </row>
    <row r="132" customFormat="false" ht="17.15" hidden="false" customHeight="false" outlineLevel="0" collapsed="false">
      <c r="A132" s="13" t="s">
        <v>349</v>
      </c>
      <c r="B132" s="13" t="s">
        <v>187</v>
      </c>
      <c r="C132" s="41" t="s">
        <v>338</v>
      </c>
      <c r="D132" s="14" t="n">
        <v>46154</v>
      </c>
      <c r="E132" s="41" t="s">
        <v>198</v>
      </c>
      <c r="F132" s="42" t="n">
        <v>5.1</v>
      </c>
      <c r="G132" s="42" t="n">
        <v>5.5</v>
      </c>
      <c r="H132" s="42" t="n">
        <v>5.7</v>
      </c>
      <c r="I132" s="42" t="n">
        <v>6</v>
      </c>
      <c r="J132" s="42" t="n">
        <v>5.2</v>
      </c>
      <c r="K132" s="42" t="n">
        <v>4.2</v>
      </c>
      <c r="L132" s="42" t="n">
        <v>4.2</v>
      </c>
      <c r="M132" s="42" t="n">
        <v>4.3</v>
      </c>
      <c r="N132" s="42" t="n">
        <v>6</v>
      </c>
      <c r="O132" s="42" t="n">
        <v>6</v>
      </c>
      <c r="P132" s="42" t="n">
        <v>4.5</v>
      </c>
      <c r="Q132" s="42" t="n">
        <v>5.8</v>
      </c>
      <c r="R132" s="42" t="n">
        <v>5.3</v>
      </c>
      <c r="S132" s="37" t="n">
        <f aca="false">AVERAGE(G132:J132)</f>
        <v>5.6</v>
      </c>
      <c r="T132" s="37" t="n">
        <f aca="false">AVERAGE(K132:M132)</f>
        <v>4.23333333333333</v>
      </c>
      <c r="U132" s="37" t="n">
        <f aca="false">AVERAGE(N132:O132)</f>
        <v>6</v>
      </c>
      <c r="V132" s="23" t="str">
        <f aca="false">IF(S132&gt;='판정 기준'!$B$3,"H","L")&amp;IF(T132&gt;='판정 기준'!$B$3,"H","L")&amp;IF(U132&gt;='판정 기준'!$B$3,"H","L")</f>
        <v>HLH</v>
      </c>
      <c r="W132" s="36" t="str">
        <f aca="false">INDEX('포지션 정의'!$A$2:$A$9,MATCH(V132,'포지션 정의'!$D$2:$D$9,0))</f>
        <v>D</v>
      </c>
      <c r="X132" s="36" t="str">
        <f aca="false">INDEX('포지션 정의'!$B$2:$B$9,MATCH(V132,'포지션 정의'!$D$2:$D$9,0))</f>
        <v>실전 승부사형</v>
      </c>
      <c r="Y132" s="43" t="str">
        <f aca="false">IF(AJ132="","가장 높은 지표: "&amp;AP132,LEFT(AJ132,LEN(AJ132)-2))</f>
        <v>경기긴장도, 사회적 도움 활용, 실수 후 회복력</v>
      </c>
      <c r="Z132" s="43" t="str">
        <f aca="false">IF(MAX(AK132:AO132)=0,"심화: "&amp;IF(N132=MIN(G132,Q132,K132,N132,P132),"실수 후 회복력",IF(K132=MIN(G132,Q132,K132,N132,P132),"경기 준비 능력",IF(G132=MIN(G132,Q132,K132,N132,P132),"경기긴장도",IF(P132=MIN(G132,Q132,K132,N132,P132),"자기 통제력","사회적 도움 활용")))),IF(MAX(AK132:AO132)&gt;='판정 기준'!$B$8-'판정 기준'!$B$4,IF(AN132=MAX(AK132:AO132),"실수 후 회복력",IF(AM132=MAX(AK132:AO132),"경기 준비 능력",IF(AK132=MAX(AK132:AO132),"경기긴장도",IF(AO132=MAX(AK132:AO132),"자기 통제력","사회적 도움 활용")))),IF(AN132&gt;0,"실수 후 회복력",IF(AM132&gt;0,"경기 준비 능력",IF(AK132&gt;0,"경기긴장도",IF(AO132&gt;0,"자기 통제력","사회적 도움 활용"))))))</f>
        <v>자기 통제력</v>
      </c>
      <c r="AA132" s="43" t="str">
        <f aca="false">INDEX('포지션 정의'!$L$2:$L$9,MATCH(V132,'포지션 정의'!$D$2:$D$9,0))</f>
        <v>즐라탄 이브라히모비치 · 호나우지뉴 · 디에고 마라도나</v>
      </c>
      <c r="AB132" s="24" t="n">
        <f aca="false">ROUND(100*(1-SQRT(((S132-'포지션 정의'!$N$2)^2+(T132-'포지션 정의'!$O$2)^2+(U132-'포지션 정의'!$P$2)^2)/3)/'판정 기준'!$B$7),0)</f>
        <v>65</v>
      </c>
      <c r="AC132" s="24" t="n">
        <f aca="false">ROUND(100*(1-SQRT(((S132-'포지션 정의'!$N$3)^2+(T132-'포지션 정의'!$O$3)^2+(U132-'포지션 정의'!$P$3)^2)/3)/'판정 기준'!$B$7),0)</f>
        <v>72</v>
      </c>
      <c r="AD132" s="24" t="n">
        <f aca="false">ROUND(100*(1-SQRT(((S132-'포지션 정의'!$N$4)^2+(T132-'포지션 정의'!$O$4)^2+(U132-'포지션 정의'!$P$4)^2)/3)/'판정 기준'!$B$7),0)</f>
        <v>74</v>
      </c>
      <c r="AE132" s="24" t="n">
        <f aca="false">ROUND(100*(1-SQRT(((S132-'포지션 정의'!$N$5)^2+(T132-'포지션 정의'!$O$5)^2+(U132-'포지션 정의'!$P$5)^2)/3)/'판정 기준'!$B$7),0)</f>
        <v>89</v>
      </c>
      <c r="AF132" s="24" t="n">
        <f aca="false">ROUND(100*(1-SQRT(((S132-'포지션 정의'!$N$6)^2+(T132-'포지션 정의'!$O$6)^2+(U132-'포지션 정의'!$P$6)^2)/3)/'판정 기준'!$B$7),0)</f>
        <v>77</v>
      </c>
      <c r="AG132" s="24" t="n">
        <f aca="false">ROUND(100*(1-SQRT(((S132-'포지션 정의'!$N$7)^2+(T132-'포지션 정의'!$O$7)^2+(U132-'포지션 정의'!$P$7)^2)/3)/'판정 기준'!$B$7),0)</f>
        <v>75</v>
      </c>
      <c r="AH132" s="24" t="n">
        <f aca="false">ROUND(100*(1-SQRT(((S132-'포지션 정의'!$N$8)^2+(T132-'포지션 정의'!$O$8)^2+(U132-'포지션 정의'!$P$8)^2)/3)/'판정 기준'!$B$7),0)</f>
        <v>67</v>
      </c>
      <c r="AI132" s="24" t="n">
        <f aca="false">ROUND(100*(1-SQRT(((S132-'포지션 정의'!$N$9)^2+(T132-'포지션 정의'!$O$9)^2+(U132-'포지션 정의'!$P$9)^2)/3)/'판정 기준'!$B$7),0)</f>
        <v>85</v>
      </c>
      <c r="AJ132" s="23" t="str">
        <f aca="false">IF(G132&gt;='판정 기준'!$B$8,"경기긴장도, ","")&amp;IF(Q132&gt;='판정 기준'!$B$8,"사회적 도움 활용, ","")&amp;IF(K132&gt;='판정 기준'!$B$8,"경기 준비 능력, ","")&amp;IF(N132&gt;='판정 기준'!$B$8,"실수 후 회복력, ","")&amp;IF(P132&gt;='판정 기준'!$B$8,"자기 통제력, ","")</f>
        <v>경기긴장도, 사회적 도움 활용, 실수 후 회복력, </v>
      </c>
      <c r="AK132" s="23" t="n">
        <f aca="false">IF(AND(G132&lt;'판정 기준'!$B$8,OR(AJ132&lt;&gt;"",AP132&lt;&gt;"경기긴장도")),G132,0)</f>
        <v>0</v>
      </c>
      <c r="AL132" s="23" t="n">
        <f aca="false">IF(AND(Q132&lt;'판정 기준'!$B$8,OR(AJ132&lt;&gt;"",AP132&lt;&gt;"사회적 도움 활용")),Q132,0)</f>
        <v>0</v>
      </c>
      <c r="AM132" s="23" t="n">
        <f aca="false">IF(AND(K132&lt;'판정 기준'!$B$8,OR(AJ132&lt;&gt;"",AP132&lt;&gt;"경기 준비 능력")),K132,0)</f>
        <v>4.2</v>
      </c>
      <c r="AN132" s="23" t="n">
        <f aca="false">IF(AND(N132&lt;'판정 기준'!$B$8,OR(AJ132&lt;&gt;"",AP132&lt;&gt;"실수 후 회복력")),N132,0)</f>
        <v>0</v>
      </c>
      <c r="AO132" s="23" t="n">
        <f aca="false">IF(AND(P132&lt;'판정 기준'!$B$8,OR(AJ132&lt;&gt;"",AP132&lt;&gt;"자기 통제력")),P132,0)</f>
        <v>4.5</v>
      </c>
      <c r="AP132" s="23" t="str">
        <f aca="false">IF(Q132=MAX(G132,Q132,K132,N132,P132),"사회적 도움 활용",IF(P132=MAX(G132,Q132,K132,N132,P132),"자기 통제력",IF(G132=MAX(G132,Q132,K132,N132,P132),"경기긴장도",IF(K132=MAX(G132,Q132,K132,N132,P132),"경기 준비 능력","실수 후 회복력"))))</f>
        <v>실수 후 회복력</v>
      </c>
    </row>
    <row r="133" customFormat="false" ht="17.15" hidden="false" customHeight="false" outlineLevel="0" collapsed="false">
      <c r="A133" s="13" t="s">
        <v>350</v>
      </c>
      <c r="B133" s="13" t="s">
        <v>187</v>
      </c>
      <c r="C133" s="41" t="s">
        <v>338</v>
      </c>
      <c r="D133" s="14" t="n">
        <v>46154</v>
      </c>
      <c r="E133" s="41" t="s">
        <v>198</v>
      </c>
      <c r="F133" s="42" t="n">
        <v>4.7</v>
      </c>
      <c r="G133" s="42" t="n">
        <v>4.3</v>
      </c>
      <c r="H133" s="42" t="n">
        <v>4.3</v>
      </c>
      <c r="I133" s="42" t="n">
        <v>4.6</v>
      </c>
      <c r="J133" s="42" t="n">
        <v>4.5</v>
      </c>
      <c r="K133" s="42" t="n">
        <v>4.5</v>
      </c>
      <c r="L133" s="42" t="n">
        <v>4.8</v>
      </c>
      <c r="M133" s="42" t="n">
        <v>4.1</v>
      </c>
      <c r="N133" s="42" t="n">
        <v>5.3</v>
      </c>
      <c r="O133" s="42" t="n">
        <v>5.2</v>
      </c>
      <c r="P133" s="42" t="n">
        <v>4.3</v>
      </c>
      <c r="Q133" s="42" t="n">
        <v>5</v>
      </c>
      <c r="R133" s="42" t="n">
        <v>5.7</v>
      </c>
      <c r="S133" s="37" t="n">
        <f aca="false">AVERAGE(G133:J133)</f>
        <v>4.425</v>
      </c>
      <c r="T133" s="37" t="n">
        <f aca="false">AVERAGE(K133:M133)</f>
        <v>4.46666666666667</v>
      </c>
      <c r="U133" s="37" t="n">
        <f aca="false">AVERAGE(N133:O133)</f>
        <v>5.25</v>
      </c>
      <c r="V133" s="23" t="str">
        <f aca="false">IF(S133&gt;='판정 기준'!$B$3,"H","L")&amp;IF(T133&gt;='판정 기준'!$B$3,"H","L")&amp;IF(U133&gt;='판정 기준'!$B$3,"H","L")</f>
        <v>LLH</v>
      </c>
      <c r="W133" s="36" t="str">
        <f aca="false">INDEX('포지션 정의'!$A$2:$A$9,MATCH(V133,'포지션 정의'!$D$2:$D$9,0))</f>
        <v>E</v>
      </c>
      <c r="X133" s="36" t="str">
        <f aca="false">INDEX('포지션 정의'!$B$2:$B$9,MATCH(V133,'포지션 정의'!$D$2:$D$9,0))</f>
        <v>오뚝이 회복형</v>
      </c>
      <c r="Y133" s="43" t="str">
        <f aca="false">IF(AJ133="","가장 높은 지표: "&amp;AP133,LEFT(AJ133,LEN(AJ133)-2))</f>
        <v>사회적 도움 활용, 실수 후 회복력</v>
      </c>
      <c r="Z133" s="43" t="str">
        <f aca="false">IF(MAX(AK133:AO133)=0,"심화: "&amp;IF(N133=MIN(G133,Q133,K133,N133,P133),"실수 후 회복력",IF(K133=MIN(G133,Q133,K133,N133,P133),"경기 준비 능력",IF(G133=MIN(G133,Q133,K133,N133,P133),"경기긴장도",IF(P133=MIN(G133,Q133,K133,N133,P133),"자기 통제력","사회적 도움 활용")))),IF(MAX(AK133:AO133)&gt;='판정 기준'!$B$8-'판정 기준'!$B$4,IF(AN133=MAX(AK133:AO133),"실수 후 회복력",IF(AM133=MAX(AK133:AO133),"경기 준비 능력",IF(AK133=MAX(AK133:AO133),"경기긴장도",IF(AO133=MAX(AK133:AO133),"자기 통제력","사회적 도움 활용")))),IF(AN133&gt;0,"실수 후 회복력",IF(AM133&gt;0,"경기 준비 능력",IF(AK133&gt;0,"경기긴장도",IF(AO133&gt;0,"자기 통제력","사회적 도움 활용"))))))</f>
        <v>경기 준비 능력</v>
      </c>
      <c r="AA133" s="43" t="str">
        <f aca="false">INDEX('포지션 정의'!$L$2:$L$9,MATCH(V133,'포지션 정의'!$D$2:$D$9,0))</f>
        <v>올리비에 지루 · 디에고 포를란 · 라다멜 팔카오</v>
      </c>
      <c r="AB133" s="24" t="n">
        <f aca="false">ROUND(100*(1-SQRT(((S133-'포지션 정의'!$N$2)^2+(T133-'포지션 정의'!$O$2)^2+(U133-'포지션 정의'!$P$2)^2)/3)/'판정 기준'!$B$7),0)</f>
        <v>80</v>
      </c>
      <c r="AC133" s="24" t="n">
        <f aca="false">ROUND(100*(1-SQRT(((S133-'포지션 정의'!$N$3)^2+(T133-'포지션 정의'!$O$3)^2+(U133-'포지션 정의'!$P$3)^2)/3)/'판정 기준'!$B$7),0)</f>
        <v>79</v>
      </c>
      <c r="AD133" s="24" t="n">
        <f aca="false">ROUND(100*(1-SQRT(((S133-'포지션 정의'!$N$4)^2+(T133-'포지션 정의'!$O$4)^2+(U133-'포지션 정의'!$P$4)^2)/3)/'판정 기준'!$B$7),0)</f>
        <v>80</v>
      </c>
      <c r="AE133" s="24" t="n">
        <f aca="false">ROUND(100*(1-SQRT(((S133-'포지션 정의'!$N$5)^2+(T133-'포지션 정의'!$O$5)^2+(U133-'포지션 정의'!$P$5)^2)/3)/'판정 기준'!$B$7),0)</f>
        <v>88</v>
      </c>
      <c r="AF133" s="24" t="n">
        <f aca="false">ROUND(100*(1-SQRT(((S133-'포지션 정의'!$N$6)^2+(T133-'포지션 정의'!$O$6)^2+(U133-'포지션 정의'!$P$6)^2)/3)/'판정 기준'!$B$7),0)</f>
        <v>89</v>
      </c>
      <c r="AG133" s="24" t="n">
        <f aca="false">ROUND(100*(1-SQRT(((S133-'포지션 정의'!$N$7)^2+(T133-'포지션 정의'!$O$7)^2+(U133-'포지션 정의'!$P$7)^2)/3)/'판정 기준'!$B$7),0)</f>
        <v>89</v>
      </c>
      <c r="AH133" s="24" t="n">
        <f aca="false">ROUND(100*(1-SQRT(((S133-'포지션 정의'!$N$8)^2+(T133-'포지션 정의'!$O$8)^2+(U133-'포지션 정의'!$P$8)^2)/3)/'판정 기준'!$B$7),0)</f>
        <v>80</v>
      </c>
      <c r="AI133" s="24" t="n">
        <f aca="false">ROUND(100*(1-SQRT(((S133-'포지션 정의'!$N$9)^2+(T133-'포지션 정의'!$O$9)^2+(U133-'포지션 정의'!$P$9)^2)/3)/'판정 기준'!$B$7),0)</f>
        <v>88</v>
      </c>
      <c r="AJ133" s="23" t="str">
        <f aca="false">IF(G133&gt;='판정 기준'!$B$8,"경기긴장도, ","")&amp;IF(Q133&gt;='판정 기준'!$B$8,"사회적 도움 활용, ","")&amp;IF(K133&gt;='판정 기준'!$B$8,"경기 준비 능력, ","")&amp;IF(N133&gt;='판정 기준'!$B$8,"실수 후 회복력, ","")&amp;IF(P133&gt;='판정 기준'!$B$8,"자기 통제력, ","")</f>
        <v>사회적 도움 활용, 실수 후 회복력, </v>
      </c>
      <c r="AK133" s="23" t="n">
        <f aca="false">IF(AND(G133&lt;'판정 기준'!$B$8,OR(AJ133&lt;&gt;"",AP133&lt;&gt;"경기긴장도")),G133,0)</f>
        <v>4.3</v>
      </c>
      <c r="AL133" s="23" t="n">
        <f aca="false">IF(AND(Q133&lt;'판정 기준'!$B$8,OR(AJ133&lt;&gt;"",AP133&lt;&gt;"사회적 도움 활용")),Q133,0)</f>
        <v>0</v>
      </c>
      <c r="AM133" s="23" t="n">
        <f aca="false">IF(AND(K133&lt;'판정 기준'!$B$8,OR(AJ133&lt;&gt;"",AP133&lt;&gt;"경기 준비 능력")),K133,0)</f>
        <v>4.5</v>
      </c>
      <c r="AN133" s="23" t="n">
        <f aca="false">IF(AND(N133&lt;'판정 기준'!$B$8,OR(AJ133&lt;&gt;"",AP133&lt;&gt;"실수 후 회복력")),N133,0)</f>
        <v>0</v>
      </c>
      <c r="AO133" s="23" t="n">
        <f aca="false">IF(AND(P133&lt;'판정 기준'!$B$8,OR(AJ133&lt;&gt;"",AP133&lt;&gt;"자기 통제력")),P133,0)</f>
        <v>4.3</v>
      </c>
      <c r="AP133" s="23" t="str">
        <f aca="false">IF(Q133=MAX(G133,Q133,K133,N133,P133),"사회적 도움 활용",IF(P133=MAX(G133,Q133,K133,N133,P133),"자기 통제력",IF(G133=MAX(G133,Q133,K133,N133,P133),"경기긴장도",IF(K133=MAX(G133,Q133,K133,N133,P133),"경기 준비 능력","실수 후 회복력"))))</f>
        <v>실수 후 회복력</v>
      </c>
    </row>
    <row r="134" customFormat="false" ht="17.15" hidden="false" customHeight="false" outlineLevel="0" collapsed="false">
      <c r="A134" s="13" t="s">
        <v>351</v>
      </c>
      <c r="B134" s="13" t="s">
        <v>187</v>
      </c>
      <c r="C134" s="41" t="s">
        <v>338</v>
      </c>
      <c r="D134" s="14" t="n">
        <v>46154</v>
      </c>
      <c r="E134" s="41" t="s">
        <v>195</v>
      </c>
      <c r="F134" s="42" t="n">
        <v>4.6</v>
      </c>
      <c r="G134" s="42" t="n">
        <v>4.9</v>
      </c>
      <c r="H134" s="42" t="n">
        <v>5.2</v>
      </c>
      <c r="I134" s="42" t="n">
        <v>5.2</v>
      </c>
      <c r="J134" s="42" t="n">
        <v>4.8</v>
      </c>
      <c r="K134" s="42" t="n">
        <v>4.3</v>
      </c>
      <c r="L134" s="42" t="n">
        <v>4.3</v>
      </c>
      <c r="M134" s="42" t="n">
        <v>4.3</v>
      </c>
      <c r="N134" s="42" t="n">
        <v>5</v>
      </c>
      <c r="O134" s="42" t="n">
        <v>4.7</v>
      </c>
      <c r="P134" s="42" t="n">
        <v>3.8</v>
      </c>
      <c r="Q134" s="42" t="n">
        <v>6</v>
      </c>
      <c r="R134" s="42" t="n">
        <v>5.7</v>
      </c>
      <c r="S134" s="37" t="n">
        <f aca="false">AVERAGE(G134:J134)</f>
        <v>5.025</v>
      </c>
      <c r="T134" s="37" t="n">
        <f aca="false">AVERAGE(K134:M134)</f>
        <v>4.3</v>
      </c>
      <c r="U134" s="37" t="n">
        <f aca="false">AVERAGE(N134:O134)</f>
        <v>4.85</v>
      </c>
      <c r="V134" s="23" t="str">
        <f aca="false">IF(S134&gt;='판정 기준'!$B$3,"H","L")&amp;IF(T134&gt;='판정 기준'!$B$3,"H","L")&amp;IF(U134&gt;='판정 기준'!$B$3,"H","L")</f>
        <v>HLH</v>
      </c>
      <c r="W134" s="36" t="str">
        <f aca="false">INDEX('포지션 정의'!$A$2:$A$9,MATCH(V134,'포지션 정의'!$D$2:$D$9,0))</f>
        <v>D</v>
      </c>
      <c r="X134" s="36" t="str">
        <f aca="false">INDEX('포지션 정의'!$B$2:$B$9,MATCH(V134,'포지션 정의'!$D$2:$D$9,0))</f>
        <v>실전 승부사형</v>
      </c>
      <c r="Y134" s="43" t="str">
        <f aca="false">IF(AJ134="","가장 높은 지표: "&amp;AP134,LEFT(AJ134,LEN(AJ134)-2))</f>
        <v>경기긴장도, 사회적 도움 활용, 실수 후 회복력</v>
      </c>
      <c r="Z134" s="43" t="str">
        <f aca="false">IF(MAX(AK134:AO134)=0,"심화: "&amp;IF(N134=MIN(G134,Q134,K134,N134,P134),"실수 후 회복력",IF(K134=MIN(G134,Q134,K134,N134,P134),"경기 준비 능력",IF(G134=MIN(G134,Q134,K134,N134,P134),"경기긴장도",IF(P134=MIN(G134,Q134,K134,N134,P134),"자기 통제력","사회적 도움 활용")))),IF(MAX(AK134:AO134)&gt;='판정 기준'!$B$8-'판정 기준'!$B$4,IF(AN134=MAX(AK134:AO134),"실수 후 회복력",IF(AM134=MAX(AK134:AO134),"경기 준비 능력",IF(AK134=MAX(AK134:AO134),"경기긴장도",IF(AO134=MAX(AK134:AO134),"자기 통제력","사회적 도움 활용")))),IF(AN134&gt;0,"실수 후 회복력",IF(AM134&gt;0,"경기 준비 능력",IF(AK134&gt;0,"경기긴장도",IF(AO134&gt;0,"자기 통제력","사회적 도움 활용"))))))</f>
        <v>경기 준비 능력</v>
      </c>
      <c r="AA134" s="43" t="str">
        <f aca="false">INDEX('포지션 정의'!$L$2:$L$9,MATCH(V134,'포지션 정의'!$D$2:$D$9,0))</f>
        <v>즐라탄 이브라히모비치 · 호나우지뉴 · 디에고 마라도나</v>
      </c>
      <c r="AB134" s="24" t="n">
        <f aca="false">ROUND(100*(1-SQRT(((S134-'포지션 정의'!$N$2)^2+(T134-'포지션 정의'!$O$2)^2+(U134-'포지션 정의'!$P$2)^2)/3)/'판정 기준'!$B$7),0)</f>
        <v>79</v>
      </c>
      <c r="AC134" s="24" t="n">
        <f aca="false">ROUND(100*(1-SQRT(((S134-'포지션 정의'!$N$3)^2+(T134-'포지션 정의'!$O$3)^2+(U134-'포지션 정의'!$P$3)^2)/3)/'판정 기준'!$B$7),0)</f>
        <v>84</v>
      </c>
      <c r="AD134" s="24" t="n">
        <f aca="false">ROUND(100*(1-SQRT(((S134-'포지션 정의'!$N$4)^2+(T134-'포지션 정의'!$O$4)^2+(U134-'포지션 정의'!$P$4)^2)/3)/'판정 기준'!$B$7),0)</f>
        <v>86</v>
      </c>
      <c r="AE134" s="24" t="n">
        <f aca="false">ROUND(100*(1-SQRT(((S134-'포지션 정의'!$N$5)^2+(T134-'포지션 정의'!$O$5)^2+(U134-'포지션 정의'!$P$5)^2)/3)/'판정 기준'!$B$7),0)</f>
        <v>93</v>
      </c>
      <c r="AF134" s="24" t="n">
        <f aca="false">ROUND(100*(1-SQRT(((S134-'포지션 정의'!$N$6)^2+(T134-'포지션 정의'!$O$6)^2+(U134-'포지션 정의'!$P$6)^2)/3)/'판정 기준'!$B$7),0)</f>
        <v>84</v>
      </c>
      <c r="AG134" s="24" t="n">
        <f aca="false">ROUND(100*(1-SQRT(((S134-'포지션 정의'!$N$7)^2+(T134-'포지션 정의'!$O$7)^2+(U134-'포지션 정의'!$P$7)^2)/3)/'판정 기준'!$B$7),0)</f>
        <v>82</v>
      </c>
      <c r="AH134" s="24" t="n">
        <f aca="false">ROUND(100*(1-SQRT(((S134-'포지션 정의'!$N$8)^2+(T134-'포지션 정의'!$O$8)^2+(U134-'포지션 정의'!$P$8)^2)/3)/'판정 기준'!$B$7),0)</f>
        <v>80</v>
      </c>
      <c r="AI134" s="24" t="n">
        <f aca="false">ROUND(100*(1-SQRT(((S134-'포지션 정의'!$N$9)^2+(T134-'포지션 정의'!$O$9)^2+(U134-'포지션 정의'!$P$9)^2)/3)/'판정 기준'!$B$7),0)</f>
        <v>89</v>
      </c>
      <c r="AJ134" s="23" t="str">
        <f aca="false">IF(G134&gt;='판정 기준'!$B$8,"경기긴장도, ","")&amp;IF(Q134&gt;='판정 기준'!$B$8,"사회적 도움 활용, ","")&amp;IF(K134&gt;='판정 기준'!$B$8,"경기 준비 능력, ","")&amp;IF(N134&gt;='판정 기준'!$B$8,"실수 후 회복력, ","")&amp;IF(P134&gt;='판정 기준'!$B$8,"자기 통제력, ","")</f>
        <v>경기긴장도, 사회적 도움 활용, 실수 후 회복력, </v>
      </c>
      <c r="AK134" s="23" t="n">
        <f aca="false">IF(AND(G134&lt;'판정 기준'!$B$8,OR(AJ134&lt;&gt;"",AP134&lt;&gt;"경기긴장도")),G134,0)</f>
        <v>0</v>
      </c>
      <c r="AL134" s="23" t="n">
        <f aca="false">IF(AND(Q134&lt;'판정 기준'!$B$8,OR(AJ134&lt;&gt;"",AP134&lt;&gt;"사회적 도움 활용")),Q134,0)</f>
        <v>0</v>
      </c>
      <c r="AM134" s="23" t="n">
        <f aca="false">IF(AND(K134&lt;'판정 기준'!$B$8,OR(AJ134&lt;&gt;"",AP134&lt;&gt;"경기 준비 능력")),K134,0)</f>
        <v>4.3</v>
      </c>
      <c r="AN134" s="23" t="n">
        <f aca="false">IF(AND(N134&lt;'판정 기준'!$B$8,OR(AJ134&lt;&gt;"",AP134&lt;&gt;"실수 후 회복력")),N134,0)</f>
        <v>0</v>
      </c>
      <c r="AO134" s="23" t="n">
        <f aca="false">IF(AND(P134&lt;'판정 기준'!$B$8,OR(AJ134&lt;&gt;"",AP134&lt;&gt;"자기 통제력")),P134,0)</f>
        <v>3.8</v>
      </c>
      <c r="AP134" s="23" t="str">
        <f aca="false">IF(Q134=MAX(G134,Q134,K134,N134,P134),"사회적 도움 활용",IF(P134=MAX(G134,Q134,K134,N134,P134),"자기 통제력",IF(G134=MAX(G134,Q134,K134,N134,P134),"경기긴장도",IF(K134=MAX(G134,Q134,K134,N134,P134),"경기 준비 능력","실수 후 회복력"))))</f>
        <v>사회적 도움 활용</v>
      </c>
    </row>
    <row r="135" customFormat="false" ht="17.15" hidden="false" customHeight="false" outlineLevel="0" collapsed="false">
      <c r="A135" s="13" t="s">
        <v>352</v>
      </c>
      <c r="B135" s="13" t="s">
        <v>187</v>
      </c>
      <c r="C135" s="41" t="s">
        <v>338</v>
      </c>
      <c r="D135" s="14" t="n">
        <v>46154</v>
      </c>
      <c r="E135" s="41" t="s">
        <v>195</v>
      </c>
      <c r="F135" s="42" t="n">
        <v>4.6</v>
      </c>
      <c r="G135" s="42" t="n">
        <v>4.3</v>
      </c>
      <c r="H135" s="42" t="n">
        <v>4.3</v>
      </c>
      <c r="I135" s="42" t="n">
        <v>4.2</v>
      </c>
      <c r="J135" s="42" t="n">
        <v>4</v>
      </c>
      <c r="K135" s="42" t="n">
        <v>4.8</v>
      </c>
      <c r="L135" s="42" t="n">
        <v>5.2</v>
      </c>
      <c r="M135" s="42" t="n">
        <v>4.6</v>
      </c>
      <c r="N135" s="42" t="n">
        <v>4.9</v>
      </c>
      <c r="O135" s="42" t="n">
        <v>4.5</v>
      </c>
      <c r="P135" s="42" t="n">
        <v>4.3</v>
      </c>
      <c r="Q135" s="42" t="n">
        <v>4.6</v>
      </c>
      <c r="R135" s="42" t="n">
        <v>5.7</v>
      </c>
      <c r="S135" s="37" t="n">
        <f aca="false">AVERAGE(G135:J135)</f>
        <v>4.2</v>
      </c>
      <c r="T135" s="37" t="n">
        <f aca="false">AVERAGE(K135:M135)</f>
        <v>4.86666666666667</v>
      </c>
      <c r="U135" s="37" t="n">
        <f aca="false">AVERAGE(N135:O135)</f>
        <v>4.7</v>
      </c>
      <c r="V135" s="23" t="str">
        <f aca="false">IF(S135&gt;='판정 기준'!$B$3,"H","L")&amp;IF(T135&gt;='판정 기준'!$B$3,"H","L")&amp;IF(U135&gt;='판정 기준'!$B$3,"H","L")</f>
        <v>LHH</v>
      </c>
      <c r="W135" s="36" t="str">
        <f aca="false">INDEX('포지션 정의'!$A$2:$A$9,MATCH(V135,'포지션 정의'!$D$2:$D$9,0))</f>
        <v>F</v>
      </c>
      <c r="X135" s="36" t="str">
        <f aca="false">INDEX('포지션 정의'!$B$2:$B$9,MATCH(V135,'포지션 정의'!$D$2:$D$9,0))</f>
        <v>성실한 도전자형</v>
      </c>
      <c r="Y135" s="43" t="str">
        <f aca="false">IF(AJ135="","가장 높은 지표: "&amp;AP135,LEFT(AJ135,LEN(AJ135)-2))</f>
        <v>경기 준비 능력, 실수 후 회복력</v>
      </c>
      <c r="Z135" s="43" t="str">
        <f aca="false">IF(MAX(AK135:AO135)=0,"심화: "&amp;IF(N135=MIN(G135,Q135,K135,N135,P135),"실수 후 회복력",IF(K135=MIN(G135,Q135,K135,N135,P135),"경기 준비 능력",IF(G135=MIN(G135,Q135,K135,N135,P135),"경기긴장도",IF(P135=MIN(G135,Q135,K135,N135,P135),"자기 통제력","사회적 도움 활용")))),IF(MAX(AK135:AO135)&gt;='판정 기준'!$B$8-'판정 기준'!$B$4,IF(AN135=MAX(AK135:AO135),"실수 후 회복력",IF(AM135=MAX(AK135:AO135),"경기 준비 능력",IF(AK135=MAX(AK135:AO135),"경기긴장도",IF(AO135=MAX(AK135:AO135),"자기 통제력","사회적 도움 활용")))),IF(AN135&gt;0,"실수 후 회복력",IF(AM135&gt;0,"경기 준비 능력",IF(AK135&gt;0,"경기긴장도",IF(AO135&gt;0,"자기 통제력","사회적 도움 활용"))))))</f>
        <v>사회적 도움 활용</v>
      </c>
      <c r="AA135" s="43" t="str">
        <f aca="false">INDEX('포지션 정의'!$L$2:$L$9,MATCH(V135,'포지션 정의'!$D$2:$D$9,0))</f>
        <v>제이미 바디 · 은골로 캉테 · 박지성</v>
      </c>
      <c r="AB135" s="24" t="n">
        <f aca="false">ROUND(100*(1-SQRT(((S135-'포지션 정의'!$N$2)^2+(T135-'포지션 정의'!$O$2)^2+(U135-'포지션 정의'!$P$2)^2)/3)/'판정 기준'!$B$7),0)</f>
        <v>88</v>
      </c>
      <c r="AC135" s="24" t="n">
        <f aca="false">ROUND(100*(1-SQRT(((S135-'포지션 정의'!$N$3)^2+(T135-'포지션 정의'!$O$3)^2+(U135-'포지션 정의'!$P$3)^2)/3)/'판정 기준'!$B$7),0)</f>
        <v>84</v>
      </c>
      <c r="AD135" s="24" t="n">
        <f aca="false">ROUND(100*(1-SQRT(((S135-'포지션 정의'!$N$4)^2+(T135-'포지션 정의'!$O$4)^2+(U135-'포지션 정의'!$P$4)^2)/3)/'판정 기준'!$B$7),0)</f>
        <v>80</v>
      </c>
      <c r="AE135" s="24" t="n">
        <f aca="false">ROUND(100*(1-SQRT(((S135-'포지션 정의'!$N$5)^2+(T135-'포지션 정의'!$O$5)^2+(U135-'포지션 정의'!$P$5)^2)/3)/'판정 기준'!$B$7),0)</f>
        <v>82</v>
      </c>
      <c r="AF135" s="24" t="n">
        <f aca="false">ROUND(100*(1-SQRT(((S135-'포지션 정의'!$N$6)^2+(T135-'포지션 정의'!$O$6)^2+(U135-'포지션 정의'!$P$6)^2)/3)/'판정 기준'!$B$7),0)</f>
        <v>86</v>
      </c>
      <c r="AG135" s="24" t="n">
        <f aca="false">ROUND(100*(1-SQRT(((S135-'포지션 정의'!$N$7)^2+(T135-'포지션 정의'!$O$7)^2+(U135-'포지션 정의'!$P$7)^2)/3)/'판정 기준'!$B$7),0)</f>
        <v>92</v>
      </c>
      <c r="AH135" s="24" t="n">
        <f aca="false">ROUND(100*(1-SQRT(((S135-'포지션 정의'!$N$8)^2+(T135-'포지션 정의'!$O$8)^2+(U135-'포지션 정의'!$P$8)^2)/3)/'판정 기준'!$B$7),0)</f>
        <v>83</v>
      </c>
      <c r="AI135" s="24" t="n">
        <f aca="false">ROUND(100*(1-SQRT(((S135-'포지션 정의'!$N$9)^2+(T135-'포지션 정의'!$O$9)^2+(U135-'포지션 정의'!$P$9)^2)/3)/'판정 기준'!$B$7),0)</f>
        <v>87</v>
      </c>
      <c r="AJ135" s="23" t="str">
        <f aca="false">IF(G135&gt;='판정 기준'!$B$8,"경기긴장도, ","")&amp;IF(Q135&gt;='판정 기준'!$B$8,"사회적 도움 활용, ","")&amp;IF(K135&gt;='판정 기준'!$B$8,"경기 준비 능력, ","")&amp;IF(N135&gt;='판정 기준'!$B$8,"실수 후 회복력, ","")&amp;IF(P135&gt;='판정 기준'!$B$8,"자기 통제력, ","")</f>
        <v>경기 준비 능력, 실수 후 회복력, </v>
      </c>
      <c r="AK135" s="23" t="n">
        <f aca="false">IF(AND(G135&lt;'판정 기준'!$B$8,OR(AJ135&lt;&gt;"",AP135&lt;&gt;"경기긴장도")),G135,0)</f>
        <v>4.3</v>
      </c>
      <c r="AL135" s="23" t="n">
        <f aca="false">IF(AND(Q135&lt;'판정 기준'!$B$8,OR(AJ135&lt;&gt;"",AP135&lt;&gt;"사회적 도움 활용")),Q135,0)</f>
        <v>4.6</v>
      </c>
      <c r="AM135" s="23" t="n">
        <f aca="false">IF(AND(K135&lt;'판정 기준'!$B$8,OR(AJ135&lt;&gt;"",AP135&lt;&gt;"경기 준비 능력")),K135,0)</f>
        <v>0</v>
      </c>
      <c r="AN135" s="23" t="n">
        <f aca="false">IF(AND(N135&lt;'판정 기준'!$B$8,OR(AJ135&lt;&gt;"",AP135&lt;&gt;"실수 후 회복력")),N135,0)</f>
        <v>0</v>
      </c>
      <c r="AO135" s="23" t="n">
        <f aca="false">IF(AND(P135&lt;'판정 기준'!$B$8,OR(AJ135&lt;&gt;"",AP135&lt;&gt;"자기 통제력")),P135,0)</f>
        <v>4.3</v>
      </c>
      <c r="AP135" s="23" t="str">
        <f aca="false">IF(Q135=MAX(G135,Q135,K135,N135,P135),"사회적 도움 활용",IF(P135=MAX(G135,Q135,K135,N135,P135),"자기 통제력",IF(G135=MAX(G135,Q135,K135,N135,P135),"경기긴장도",IF(K135=MAX(G135,Q135,K135,N135,P135),"경기 준비 능력","실수 후 회복력"))))</f>
        <v>실수 후 회복력</v>
      </c>
    </row>
    <row r="136" customFormat="false" ht="17.15" hidden="false" customHeight="false" outlineLevel="0" collapsed="false">
      <c r="A136" s="13" t="s">
        <v>353</v>
      </c>
      <c r="B136" s="13" t="s">
        <v>187</v>
      </c>
      <c r="C136" s="41" t="s">
        <v>338</v>
      </c>
      <c r="D136" s="14" t="n">
        <v>46154</v>
      </c>
      <c r="E136" s="41" t="s">
        <v>195</v>
      </c>
      <c r="F136" s="42" t="n">
        <v>5.5</v>
      </c>
      <c r="G136" s="42" t="n">
        <v>5.3</v>
      </c>
      <c r="H136" s="42" t="n">
        <v>5.2</v>
      </c>
      <c r="I136" s="42" t="n">
        <v>5.6</v>
      </c>
      <c r="J136" s="42" t="n">
        <v>5</v>
      </c>
      <c r="K136" s="42" t="n">
        <v>5.2</v>
      </c>
      <c r="L136" s="42" t="n">
        <v>5.3</v>
      </c>
      <c r="M136" s="42" t="n">
        <v>5</v>
      </c>
      <c r="N136" s="42" t="n">
        <v>5.9</v>
      </c>
      <c r="O136" s="42" t="n">
        <v>5.5</v>
      </c>
      <c r="P136" s="42" t="n">
        <v>5.3</v>
      </c>
      <c r="Q136" s="42" t="n">
        <v>6</v>
      </c>
      <c r="R136" s="42" t="n">
        <v>6</v>
      </c>
      <c r="S136" s="37" t="n">
        <f aca="false">AVERAGE(G136:J136)</f>
        <v>5.275</v>
      </c>
      <c r="T136" s="37" t="n">
        <f aca="false">AVERAGE(K136:M136)</f>
        <v>5.16666666666667</v>
      </c>
      <c r="U136" s="37" t="n">
        <f aca="false">AVERAGE(N136:O136)</f>
        <v>5.7</v>
      </c>
      <c r="V136" s="23" t="str">
        <f aca="false">IF(S136&gt;='판정 기준'!$B$3,"H","L")&amp;IF(T136&gt;='판정 기준'!$B$3,"H","L")&amp;IF(U136&gt;='판정 기준'!$B$3,"H","L")</f>
        <v>HHH</v>
      </c>
      <c r="W136" s="36" t="str">
        <f aca="false">INDEX('포지션 정의'!$A$2:$A$9,MATCH(V136,'포지션 정의'!$D$2:$D$9,0))</f>
        <v>H</v>
      </c>
      <c r="X136" s="36" t="str">
        <f aca="false">INDEX('포지션 정의'!$B$2:$B$9,MATCH(V136,'포지션 정의'!$D$2:$D$9,0))</f>
        <v>올라운드 밸런스형</v>
      </c>
      <c r="Y136" s="43" t="str">
        <f aca="false">IF(AJ136="","가장 높은 지표: "&amp;AP136,LEFT(AJ136,LEN(AJ136)-2))</f>
        <v>경기긴장도, 사회적 도움 활용, 경기 준비 능력, 실수 후 회복력, 자기 통제력</v>
      </c>
      <c r="Z136" s="43" t="str">
        <f aca="false">IF(MAX(AK136:AO136)=0,"심화: "&amp;IF(N136=MIN(G136,Q136,K136,N136,P136),"실수 후 회복력",IF(K136=MIN(G136,Q136,K136,N136,P136),"경기 준비 능력",IF(G136=MIN(G136,Q136,K136,N136,P136),"경기긴장도",IF(P136=MIN(G136,Q136,K136,N136,P136),"자기 통제력","사회적 도움 활용")))),IF(MAX(AK136:AO136)&gt;='판정 기준'!$B$8-'판정 기준'!$B$4,IF(AN136=MAX(AK136:AO136),"실수 후 회복력",IF(AM136=MAX(AK136:AO136),"경기 준비 능력",IF(AK136=MAX(AK136:AO136),"경기긴장도",IF(AO136=MAX(AK136:AO136),"자기 통제력","사회적 도움 활용")))),IF(AN136&gt;0,"실수 후 회복력",IF(AM136&gt;0,"경기 준비 능력",IF(AK136&gt;0,"경기긴장도",IF(AO136&gt;0,"자기 통제력","사회적 도움 활용"))))))</f>
        <v>심화: 경기 준비 능력</v>
      </c>
      <c r="AA136" s="43" t="str">
        <f aca="false">INDEX('포지션 정의'!$L$2:$L$9,MATCH(V136,'포지션 정의'!$D$2:$D$9,0))</f>
        <v>크리스티아누 호날두 · 루카 모드리치 · 버질 반 다이크</v>
      </c>
      <c r="AB136" s="24" t="n">
        <f aca="false">ROUND(100*(1-SQRT(((S136-'포지션 정의'!$N$2)^2+(T136-'포지션 정의'!$O$2)^2+(U136-'포지션 정의'!$P$2)^2)/3)/'판정 기준'!$B$7),0)</f>
        <v>72</v>
      </c>
      <c r="AC136" s="24" t="n">
        <f aca="false">ROUND(100*(1-SQRT(((S136-'포지션 정의'!$N$3)^2+(T136-'포지션 정의'!$O$3)^2+(U136-'포지션 정의'!$P$3)^2)/3)/'판정 기준'!$B$7),0)</f>
        <v>78</v>
      </c>
      <c r="AD136" s="24" t="n">
        <f aca="false">ROUND(100*(1-SQRT(((S136-'포지션 정의'!$N$4)^2+(T136-'포지션 정의'!$O$4)^2+(U136-'포지션 정의'!$P$4)^2)/3)/'판정 기준'!$B$7),0)</f>
        <v>73</v>
      </c>
      <c r="AE136" s="24" t="n">
        <f aca="false">ROUND(100*(1-SQRT(((S136-'포지션 정의'!$N$5)^2+(T136-'포지션 정의'!$O$5)^2+(U136-'포지션 정의'!$P$5)^2)/3)/'판정 기준'!$B$7),0)</f>
        <v>83</v>
      </c>
      <c r="AF136" s="24" t="n">
        <f aca="false">ROUND(100*(1-SQRT(((S136-'포지션 정의'!$N$6)^2+(T136-'포지션 정의'!$O$6)^2+(U136-'포지션 정의'!$P$6)^2)/3)/'판정 기준'!$B$7),0)</f>
        <v>76</v>
      </c>
      <c r="AG136" s="24" t="n">
        <f aca="false">ROUND(100*(1-SQRT(((S136-'포지션 정의'!$N$7)^2+(T136-'포지션 정의'!$O$7)^2+(U136-'포지션 정의'!$P$7)^2)/3)/'판정 기준'!$B$7),0)</f>
        <v>82</v>
      </c>
      <c r="AH136" s="24" t="n">
        <f aca="false">ROUND(100*(1-SQRT(((S136-'포지션 정의'!$N$8)^2+(T136-'포지션 정의'!$O$8)^2+(U136-'포지션 정의'!$P$8)^2)/3)/'판정 기준'!$B$7),0)</f>
        <v>68</v>
      </c>
      <c r="AI136" s="24" t="n">
        <f aca="false">ROUND(100*(1-SQRT(((S136-'포지션 정의'!$N$9)^2+(T136-'포지션 정의'!$O$9)^2+(U136-'포지션 정의'!$P$9)^2)/3)/'판정 기준'!$B$7),0)</f>
        <v>94</v>
      </c>
      <c r="AJ136" s="23" t="str">
        <f aca="false">IF(G136&gt;='판정 기준'!$B$8,"경기긴장도, ","")&amp;IF(Q136&gt;='판정 기준'!$B$8,"사회적 도움 활용, ","")&amp;IF(K136&gt;='판정 기준'!$B$8,"경기 준비 능력, ","")&amp;IF(N136&gt;='판정 기준'!$B$8,"실수 후 회복력, ","")&amp;IF(P136&gt;='판정 기준'!$B$8,"자기 통제력, ","")</f>
        <v>경기긴장도, 사회적 도움 활용, 경기 준비 능력, 실수 후 회복력, 자기 통제력, </v>
      </c>
      <c r="AK136" s="23" t="n">
        <f aca="false">IF(AND(G136&lt;'판정 기준'!$B$8,OR(AJ136&lt;&gt;"",AP136&lt;&gt;"경기긴장도")),G136,0)</f>
        <v>0</v>
      </c>
      <c r="AL136" s="23" t="n">
        <f aca="false">IF(AND(Q136&lt;'판정 기준'!$B$8,OR(AJ136&lt;&gt;"",AP136&lt;&gt;"사회적 도움 활용")),Q136,0)</f>
        <v>0</v>
      </c>
      <c r="AM136" s="23" t="n">
        <f aca="false">IF(AND(K136&lt;'판정 기준'!$B$8,OR(AJ136&lt;&gt;"",AP136&lt;&gt;"경기 준비 능력")),K136,0)</f>
        <v>0</v>
      </c>
      <c r="AN136" s="23" t="n">
        <f aca="false">IF(AND(N136&lt;'판정 기준'!$B$8,OR(AJ136&lt;&gt;"",AP136&lt;&gt;"실수 후 회복력")),N136,0)</f>
        <v>0</v>
      </c>
      <c r="AO136" s="23" t="n">
        <f aca="false">IF(AND(P136&lt;'판정 기준'!$B$8,OR(AJ136&lt;&gt;"",AP136&lt;&gt;"자기 통제력")),P136,0)</f>
        <v>0</v>
      </c>
      <c r="AP136" s="23" t="str">
        <f aca="false">IF(Q136=MAX(G136,Q136,K136,N136,P136),"사회적 도움 활용",IF(P136=MAX(G136,Q136,K136,N136,P136),"자기 통제력",IF(G136=MAX(G136,Q136,K136,N136,P136),"경기긴장도",IF(K136=MAX(G136,Q136,K136,N136,P136),"경기 준비 능력","실수 후 회복력"))))</f>
        <v>사회적 도움 활용</v>
      </c>
    </row>
    <row r="137" customFormat="false" ht="17.15" hidden="false" customHeight="false" outlineLevel="0" collapsed="false">
      <c r="A137" s="13" t="s">
        <v>354</v>
      </c>
      <c r="B137" s="13" t="s">
        <v>187</v>
      </c>
      <c r="C137" s="13" t="s">
        <v>355</v>
      </c>
      <c r="D137" s="14" t="n">
        <v>46149</v>
      </c>
      <c r="E137" s="41" t="s">
        <v>193</v>
      </c>
      <c r="F137" s="42" t="n">
        <v>2.9</v>
      </c>
      <c r="G137" s="42" t="n">
        <v>3.6</v>
      </c>
      <c r="H137" s="42" t="n">
        <v>2.7</v>
      </c>
      <c r="I137" s="42" t="n">
        <v>5.6</v>
      </c>
      <c r="J137" s="42" t="n">
        <v>2.8</v>
      </c>
      <c r="K137" s="42" t="n">
        <v>2.8</v>
      </c>
      <c r="L137" s="42" t="n">
        <v>2.5</v>
      </c>
      <c r="M137" s="42" t="n">
        <v>3</v>
      </c>
      <c r="N137" s="42" t="n">
        <v>2.1</v>
      </c>
      <c r="O137" s="42" t="n">
        <v>2.5</v>
      </c>
      <c r="P137" s="42" t="n">
        <v>3.2</v>
      </c>
      <c r="Q137" s="42" t="n">
        <v>4.8</v>
      </c>
      <c r="R137" s="42" t="n">
        <v>5.7</v>
      </c>
      <c r="S137" s="37" t="n">
        <f aca="false">AVERAGE(G137:J137)</f>
        <v>3.675</v>
      </c>
      <c r="T137" s="37" t="n">
        <f aca="false">AVERAGE(K137:M137)</f>
        <v>2.76666666666667</v>
      </c>
      <c r="U137" s="37" t="n">
        <f aca="false">AVERAGE(N137:O137)</f>
        <v>2.3</v>
      </c>
      <c r="V137" s="23" t="str">
        <f aca="false">IF(S137&gt;='판정 기준'!$B$3,"H","L")&amp;IF(T137&gt;='판정 기준'!$B$3,"H","L")&amp;IF(U137&gt;='판정 기준'!$B$3,"H","L")</f>
        <v>LLL</v>
      </c>
      <c r="W137" s="36" t="str">
        <f aca="false">INDEX('포지션 정의'!$A$2:$A$9,MATCH(V137,'포지션 정의'!$D$2:$D$9,0))</f>
        <v>G</v>
      </c>
      <c r="X137" s="36" t="str">
        <f aca="false">INDEX('포지션 정의'!$B$2:$B$9,MATCH(V137,'포지션 정의'!$D$2:$D$9,0))</f>
        <v>스펀지 흡수형</v>
      </c>
      <c r="Y137" s="43" t="str">
        <f aca="false">IF(AJ137="","가장 높은 지표: "&amp;AP137,LEFT(AJ137,LEN(AJ137)-2))</f>
        <v>사회적 도움 활용</v>
      </c>
      <c r="Z137" s="43" t="str">
        <f aca="false">IF(MAX(AK137:AO137)=0,"심화: "&amp;IF(N137=MIN(G137,Q137,K137,N137,P137),"실수 후 회복력",IF(K137=MIN(G137,Q137,K137,N137,P137),"경기 준비 능력",IF(G137=MIN(G137,Q137,K137,N137,P137),"경기긴장도",IF(P137=MIN(G137,Q137,K137,N137,P137),"자기 통제력","사회적 도움 활용")))),IF(MAX(AK137:AO137)&gt;='판정 기준'!$B$8-'판정 기준'!$B$4,IF(AN137=MAX(AK137:AO137),"실수 후 회복력",IF(AM137=MAX(AK137:AO137),"경기 준비 능력",IF(AK137=MAX(AK137:AO137),"경기긴장도",IF(AO137=MAX(AK137:AO137),"자기 통제력","사회적 도움 활용")))),IF(AN137&gt;0,"실수 후 회복력",IF(AM137&gt;0,"경기 준비 능력",IF(AK137&gt;0,"경기긴장도",IF(AO137&gt;0,"자기 통제력","사회적 도움 활용"))))))</f>
        <v>실수 후 회복력</v>
      </c>
      <c r="AA137" s="43" t="str">
        <f aca="false">INDEX('포지션 정의'!$L$2:$L$9,MATCH(V137,'포지션 정의'!$D$2:$D$9,0))</f>
        <v>디디에 드로그바 · 앙투안 그리즈만 · 모하메드 살라</v>
      </c>
      <c r="AB137" s="24" t="n">
        <f aca="false">ROUND(100*(1-SQRT(((S137-'포지션 정의'!$N$2)^2+(T137-'포지션 정의'!$O$2)^2+(U137-'포지션 정의'!$P$2)^2)/3)/'판정 기준'!$B$7),0)</f>
        <v>67</v>
      </c>
      <c r="AC137" s="24" t="n">
        <f aca="false">ROUND(100*(1-SQRT(((S137-'포지션 정의'!$N$3)^2+(T137-'포지션 정의'!$O$3)^2+(U137-'포지션 정의'!$P$3)^2)/3)/'판정 기준'!$B$7),0)</f>
        <v>63</v>
      </c>
      <c r="AD137" s="24" t="n">
        <f aca="false">ROUND(100*(1-SQRT(((S137-'포지션 정의'!$N$4)^2+(T137-'포지션 정의'!$O$4)^2+(U137-'포지션 정의'!$P$4)^2)/3)/'판정 기준'!$B$7),0)</f>
        <v>73</v>
      </c>
      <c r="AE137" s="24" t="n">
        <f aca="false">ROUND(100*(1-SQRT(((S137-'포지션 정의'!$N$5)^2+(T137-'포지션 정의'!$O$5)^2+(U137-'포지션 정의'!$P$5)^2)/3)/'판정 기준'!$B$7),0)</f>
        <v>60</v>
      </c>
      <c r="AF137" s="24" t="n">
        <f aca="false">ROUND(100*(1-SQRT(((S137-'포지션 정의'!$N$6)^2+(T137-'포지션 정의'!$O$6)^2+(U137-'포지션 정의'!$P$6)^2)/3)/'판정 기준'!$B$7),0)</f>
        <v>64</v>
      </c>
      <c r="AG137" s="24" t="n">
        <f aca="false">ROUND(100*(1-SQRT(((S137-'포지션 정의'!$N$7)^2+(T137-'포지션 정의'!$O$7)^2+(U137-'포지션 정의'!$P$7)^2)/3)/'판정 기준'!$B$7),0)</f>
        <v>56</v>
      </c>
      <c r="AH137" s="24" t="n">
        <f aca="false">ROUND(100*(1-SQRT(((S137-'포지션 정의'!$N$8)^2+(T137-'포지션 정의'!$O$8)^2+(U137-'포지션 정의'!$P$8)^2)/3)/'판정 기준'!$B$7),0)</f>
        <v>79</v>
      </c>
      <c r="AI137" s="24" t="n">
        <f aca="false">ROUND(100*(1-SQRT(((S137-'포지션 정의'!$N$9)^2+(T137-'포지션 정의'!$O$9)^2+(U137-'포지션 정의'!$P$9)^2)/3)/'판정 기준'!$B$7),0)</f>
        <v>53</v>
      </c>
      <c r="AJ137" s="23" t="str">
        <f aca="false">IF(G137&gt;='판정 기준'!$B$8,"경기긴장도, ","")&amp;IF(Q137&gt;='판정 기준'!$B$8,"사회적 도움 활용, ","")&amp;IF(K137&gt;='판정 기준'!$B$8,"경기 준비 능력, ","")&amp;IF(N137&gt;='판정 기준'!$B$8,"실수 후 회복력, ","")&amp;IF(P137&gt;='판정 기준'!$B$8,"자기 통제력, ","")</f>
        <v>사회적 도움 활용, </v>
      </c>
      <c r="AK137" s="23" t="n">
        <f aca="false">IF(AND(G137&lt;'판정 기준'!$B$8,OR(AJ137&lt;&gt;"",AP137&lt;&gt;"경기긴장도")),G137,0)</f>
        <v>3.6</v>
      </c>
      <c r="AL137" s="23" t="n">
        <f aca="false">IF(AND(Q137&lt;'판정 기준'!$B$8,OR(AJ137&lt;&gt;"",AP137&lt;&gt;"사회적 도움 활용")),Q137,0)</f>
        <v>0</v>
      </c>
      <c r="AM137" s="23" t="n">
        <f aca="false">IF(AND(K137&lt;'판정 기준'!$B$8,OR(AJ137&lt;&gt;"",AP137&lt;&gt;"경기 준비 능력")),K137,0)</f>
        <v>2.8</v>
      </c>
      <c r="AN137" s="23" t="n">
        <f aca="false">IF(AND(N137&lt;'판정 기준'!$B$8,OR(AJ137&lt;&gt;"",AP137&lt;&gt;"실수 후 회복력")),N137,0)</f>
        <v>2.1</v>
      </c>
      <c r="AO137" s="23" t="n">
        <f aca="false">IF(AND(P137&lt;'판정 기준'!$B$8,OR(AJ137&lt;&gt;"",AP137&lt;&gt;"자기 통제력")),P137,0)</f>
        <v>3.2</v>
      </c>
      <c r="AP137" s="23" t="str">
        <f aca="false">IF(Q137=MAX(G137,Q137,K137,N137,P137),"사회적 도움 활용",IF(P137=MAX(G137,Q137,K137,N137,P137),"자기 통제력",IF(G137=MAX(G137,Q137,K137,N137,P137),"경기긴장도",IF(K137=MAX(G137,Q137,K137,N137,P137),"경기 준비 능력","실수 후 회복력"))))</f>
        <v>사회적 도움 활용</v>
      </c>
    </row>
    <row r="138" customFormat="false" ht="17.15" hidden="false" customHeight="false" outlineLevel="0" collapsed="false">
      <c r="A138" s="13" t="s">
        <v>356</v>
      </c>
      <c r="B138" s="13" t="s">
        <v>187</v>
      </c>
      <c r="C138" s="13" t="s">
        <v>355</v>
      </c>
      <c r="D138" s="14" t="n">
        <v>46149</v>
      </c>
      <c r="E138" s="41" t="s">
        <v>198</v>
      </c>
      <c r="F138" s="42" t="n">
        <v>4.5</v>
      </c>
      <c r="G138" s="42" t="n">
        <v>4.9</v>
      </c>
      <c r="H138" s="42" t="n">
        <v>4.5</v>
      </c>
      <c r="I138" s="42" t="n">
        <v>4.4</v>
      </c>
      <c r="J138" s="42" t="n">
        <v>5.3</v>
      </c>
      <c r="K138" s="42" t="n">
        <v>4.8</v>
      </c>
      <c r="L138" s="42" t="n">
        <v>5</v>
      </c>
      <c r="M138" s="42" t="n">
        <v>4.7</v>
      </c>
      <c r="N138" s="42" t="n">
        <v>3.4</v>
      </c>
      <c r="O138" s="42" t="n">
        <v>4</v>
      </c>
      <c r="P138" s="42" t="n">
        <v>5.2</v>
      </c>
      <c r="Q138" s="42" t="n">
        <v>4.8</v>
      </c>
      <c r="R138" s="42" t="n">
        <v>5.7</v>
      </c>
      <c r="S138" s="37" t="n">
        <f aca="false">AVERAGE(G138:J138)</f>
        <v>4.775</v>
      </c>
      <c r="T138" s="37" t="n">
        <f aca="false">AVERAGE(K138:M138)</f>
        <v>4.83333333333333</v>
      </c>
      <c r="U138" s="37" t="n">
        <f aca="false">AVERAGE(N138:O138)</f>
        <v>3.7</v>
      </c>
      <c r="V138" s="23" t="str">
        <f aca="false">IF(S138&gt;='판정 기준'!$B$3,"H","L")&amp;IF(T138&gt;='판정 기준'!$B$3,"H","L")&amp;IF(U138&gt;='판정 기준'!$B$3,"H","L")</f>
        <v>HHL</v>
      </c>
      <c r="W138" s="36" t="str">
        <f aca="false">INDEX('포지션 정의'!$A$2:$A$9,MATCH(V138,'포지션 정의'!$D$2:$D$9,0))</f>
        <v>B</v>
      </c>
      <c r="X138" s="36" t="str">
        <f aca="false">INDEX('포지션 정의'!$B$2:$B$9,MATCH(V138,'포지션 정의'!$D$2:$D$9,0))</f>
        <v>책임감 설계자형</v>
      </c>
      <c r="Y138" s="43" t="str">
        <f aca="false">IF(AJ138="","가장 높은 지표: "&amp;AP138,LEFT(AJ138,LEN(AJ138)-2))</f>
        <v>경기긴장도, 사회적 도움 활용, 경기 준비 능력, 자기 통제력</v>
      </c>
      <c r="Z138" s="43" t="str">
        <f aca="false">IF(MAX(AK138:AO138)=0,"심화: "&amp;IF(N138=MIN(G138,Q138,K138,N138,P138),"실수 후 회복력",IF(K138=MIN(G138,Q138,K138,N138,P138),"경기 준비 능력",IF(G138=MIN(G138,Q138,K138,N138,P138),"경기긴장도",IF(P138=MIN(G138,Q138,K138,N138,P138),"자기 통제력","사회적 도움 활용")))),IF(MAX(AK138:AO138)&gt;='판정 기준'!$B$8-'판정 기준'!$B$4,IF(AN138=MAX(AK138:AO138),"실수 후 회복력",IF(AM138=MAX(AK138:AO138),"경기 준비 능력",IF(AK138=MAX(AK138:AO138),"경기긴장도",IF(AO138=MAX(AK138:AO138),"자기 통제력","사회적 도움 활용")))),IF(AN138&gt;0,"실수 후 회복력",IF(AM138&gt;0,"경기 준비 능력",IF(AK138&gt;0,"경기긴장도",IF(AO138&gt;0,"자기 통제력","사회적 도움 활용"))))))</f>
        <v>실수 후 회복력</v>
      </c>
      <c r="AA138" s="43" t="str">
        <f aca="false">INDEX('포지션 정의'!$L$2:$L$9,MATCH(V138,'포지션 정의'!$D$2:$D$9,0))</f>
        <v>해리 케인 · 토니 크로스 · 필립 람</v>
      </c>
      <c r="AB138" s="24" t="n">
        <f aca="false">ROUND(100*(1-SQRT(((S138-'포지션 정의'!$N$2)^2+(T138-'포지션 정의'!$O$2)^2+(U138-'포지션 정의'!$P$2)^2)/3)/'판정 기준'!$B$7),0)</f>
        <v>88</v>
      </c>
      <c r="AC138" s="24" t="n">
        <f aca="false">ROUND(100*(1-SQRT(((S138-'포지션 정의'!$N$3)^2+(T138-'포지션 정의'!$O$3)^2+(U138-'포지션 정의'!$P$3)^2)/3)/'판정 기준'!$B$7),0)</f>
        <v>93</v>
      </c>
      <c r="AD138" s="24" t="n">
        <f aca="false">ROUND(100*(1-SQRT(((S138-'포지션 정의'!$N$4)^2+(T138-'포지션 정의'!$O$4)^2+(U138-'포지션 정의'!$P$4)^2)/3)/'판정 기준'!$B$7),0)</f>
        <v>87</v>
      </c>
      <c r="AE138" s="24" t="n">
        <f aca="false">ROUND(100*(1-SQRT(((S138-'포지션 정의'!$N$5)^2+(T138-'포지션 정의'!$O$5)^2+(U138-'포지션 정의'!$P$5)^2)/3)/'판정 기준'!$B$7),0)</f>
        <v>78</v>
      </c>
      <c r="AF138" s="24" t="n">
        <f aca="false">ROUND(100*(1-SQRT(((S138-'포지션 정의'!$N$6)^2+(T138-'포지션 정의'!$O$6)^2+(U138-'포지션 정의'!$P$6)^2)/3)/'판정 기준'!$B$7),0)</f>
        <v>76</v>
      </c>
      <c r="AG138" s="24" t="n">
        <f aca="false">ROUND(100*(1-SQRT(((S138-'포지션 정의'!$N$7)^2+(T138-'포지션 정의'!$O$7)^2+(U138-'포지션 정의'!$P$7)^2)/3)/'판정 기준'!$B$7),0)</f>
        <v>79</v>
      </c>
      <c r="AH138" s="24" t="n">
        <f aca="false">ROUND(100*(1-SQRT(((S138-'포지션 정의'!$N$8)^2+(T138-'포지션 정의'!$O$8)^2+(U138-'포지션 정의'!$P$8)^2)/3)/'판정 기준'!$B$7),0)</f>
        <v>84</v>
      </c>
      <c r="AI138" s="24" t="n">
        <f aca="false">ROUND(100*(1-SQRT(((S138-'포지션 정의'!$N$9)^2+(T138-'포지션 정의'!$O$9)^2+(U138-'포지션 정의'!$P$9)^2)/3)/'판정 기준'!$B$7),0)</f>
        <v>82</v>
      </c>
      <c r="AJ138" s="23" t="str">
        <f aca="false">IF(G138&gt;='판정 기준'!$B$8,"경기긴장도, ","")&amp;IF(Q138&gt;='판정 기준'!$B$8,"사회적 도움 활용, ","")&amp;IF(K138&gt;='판정 기준'!$B$8,"경기 준비 능력, ","")&amp;IF(N138&gt;='판정 기준'!$B$8,"실수 후 회복력, ","")&amp;IF(P138&gt;='판정 기준'!$B$8,"자기 통제력, ","")</f>
        <v>경기긴장도, 사회적 도움 활용, 경기 준비 능력, 자기 통제력, </v>
      </c>
      <c r="AK138" s="23" t="n">
        <f aca="false">IF(AND(G138&lt;'판정 기준'!$B$8,OR(AJ138&lt;&gt;"",AP138&lt;&gt;"경기긴장도")),G138,0)</f>
        <v>0</v>
      </c>
      <c r="AL138" s="23" t="n">
        <f aca="false">IF(AND(Q138&lt;'판정 기준'!$B$8,OR(AJ138&lt;&gt;"",AP138&lt;&gt;"사회적 도움 활용")),Q138,0)</f>
        <v>0</v>
      </c>
      <c r="AM138" s="23" t="n">
        <f aca="false">IF(AND(K138&lt;'판정 기준'!$B$8,OR(AJ138&lt;&gt;"",AP138&lt;&gt;"경기 준비 능력")),K138,0)</f>
        <v>0</v>
      </c>
      <c r="AN138" s="23" t="n">
        <f aca="false">IF(AND(N138&lt;'판정 기준'!$B$8,OR(AJ138&lt;&gt;"",AP138&lt;&gt;"실수 후 회복력")),N138,0)</f>
        <v>3.4</v>
      </c>
      <c r="AO138" s="23" t="n">
        <f aca="false">IF(AND(P138&lt;'판정 기준'!$B$8,OR(AJ138&lt;&gt;"",AP138&lt;&gt;"자기 통제력")),P138,0)</f>
        <v>0</v>
      </c>
      <c r="AP138" s="23" t="str">
        <f aca="false">IF(Q138=MAX(G138,Q138,K138,N138,P138),"사회적 도움 활용",IF(P138=MAX(G138,Q138,K138,N138,P138),"자기 통제력",IF(G138=MAX(G138,Q138,K138,N138,P138),"경기긴장도",IF(K138=MAX(G138,Q138,K138,N138,P138),"경기 준비 능력","실수 후 회복력"))))</f>
        <v>자기 통제력</v>
      </c>
    </row>
    <row r="139" customFormat="false" ht="17.15" hidden="false" customHeight="false" outlineLevel="0" collapsed="false">
      <c r="A139" s="13" t="s">
        <v>357</v>
      </c>
      <c r="B139" s="13" t="s">
        <v>187</v>
      </c>
      <c r="C139" s="13" t="s">
        <v>355</v>
      </c>
      <c r="D139" s="14" t="n">
        <v>46149</v>
      </c>
      <c r="E139" s="41" t="s">
        <v>198</v>
      </c>
      <c r="F139" s="42" t="n">
        <v>5.1</v>
      </c>
      <c r="G139" s="42" t="n">
        <v>5.1</v>
      </c>
      <c r="H139" s="42" t="n">
        <v>5.3</v>
      </c>
      <c r="I139" s="42" t="n">
        <v>5.4</v>
      </c>
      <c r="J139" s="42" t="n">
        <v>4.8</v>
      </c>
      <c r="K139" s="42" t="n">
        <v>5.2</v>
      </c>
      <c r="L139" s="42" t="n">
        <v>5.3</v>
      </c>
      <c r="M139" s="42" t="n">
        <v>5</v>
      </c>
      <c r="N139" s="42" t="n">
        <v>5.3</v>
      </c>
      <c r="O139" s="42" t="n">
        <v>5.8</v>
      </c>
      <c r="P139" s="42" t="n">
        <v>4.8</v>
      </c>
      <c r="Q139" s="42" t="n">
        <v>6</v>
      </c>
      <c r="R139" s="42" t="n">
        <v>4.7</v>
      </c>
      <c r="S139" s="37" t="n">
        <f aca="false">AVERAGE(G139:J139)</f>
        <v>5.15</v>
      </c>
      <c r="T139" s="37" t="n">
        <f aca="false">AVERAGE(K139:M139)</f>
        <v>5.16666666666667</v>
      </c>
      <c r="U139" s="37" t="n">
        <f aca="false">AVERAGE(N139:O139)</f>
        <v>5.55</v>
      </c>
      <c r="V139" s="23" t="str">
        <f aca="false">IF(S139&gt;='판정 기준'!$B$3,"H","L")&amp;IF(T139&gt;='판정 기준'!$B$3,"H","L")&amp;IF(U139&gt;='판정 기준'!$B$3,"H","L")</f>
        <v>HHH</v>
      </c>
      <c r="W139" s="36" t="str">
        <f aca="false">INDEX('포지션 정의'!$A$2:$A$9,MATCH(V139,'포지션 정의'!$D$2:$D$9,0))</f>
        <v>H</v>
      </c>
      <c r="X139" s="36" t="str">
        <f aca="false">INDEX('포지션 정의'!$B$2:$B$9,MATCH(V139,'포지션 정의'!$D$2:$D$9,0))</f>
        <v>올라운드 밸런스형</v>
      </c>
      <c r="Y139" s="43" t="str">
        <f aca="false">IF(AJ139="","가장 높은 지표: "&amp;AP139,LEFT(AJ139,LEN(AJ139)-2))</f>
        <v>경기긴장도, 사회적 도움 활용, 경기 준비 능력, 실수 후 회복력, 자기 통제력</v>
      </c>
      <c r="Z139" s="43" t="str">
        <f aca="false">IF(MAX(AK139:AO139)=0,"심화: "&amp;IF(N139=MIN(G139,Q139,K139,N139,P139),"실수 후 회복력",IF(K139=MIN(G139,Q139,K139,N139,P139),"경기 준비 능력",IF(G139=MIN(G139,Q139,K139,N139,P139),"경기긴장도",IF(P139=MIN(G139,Q139,K139,N139,P139),"자기 통제력","사회적 도움 활용")))),IF(MAX(AK139:AO139)&gt;='판정 기준'!$B$8-'판정 기준'!$B$4,IF(AN139=MAX(AK139:AO139),"실수 후 회복력",IF(AM139=MAX(AK139:AO139),"경기 준비 능력",IF(AK139=MAX(AK139:AO139),"경기긴장도",IF(AO139=MAX(AK139:AO139),"자기 통제력","사회적 도움 활용")))),IF(AN139&gt;0,"실수 후 회복력",IF(AM139&gt;0,"경기 준비 능력",IF(AK139&gt;0,"경기긴장도",IF(AO139&gt;0,"자기 통제력","사회적 도움 활용"))))))</f>
        <v>심화: 자기 통제력</v>
      </c>
      <c r="AA139" s="43" t="str">
        <f aca="false">INDEX('포지션 정의'!$L$2:$L$9,MATCH(V139,'포지션 정의'!$D$2:$D$9,0))</f>
        <v>크리스티아누 호날두 · 루카 모드리치 · 버질 반 다이크</v>
      </c>
      <c r="AB139" s="24" t="n">
        <f aca="false">ROUND(100*(1-SQRT(((S139-'포지션 정의'!$N$2)^2+(T139-'포지션 정의'!$O$2)^2+(U139-'포지션 정의'!$P$2)^2)/3)/'판정 기준'!$B$7),0)</f>
        <v>74</v>
      </c>
      <c r="AC139" s="24" t="n">
        <f aca="false">ROUND(100*(1-SQRT(((S139-'포지션 정의'!$N$3)^2+(T139-'포지션 정의'!$O$3)^2+(U139-'포지션 정의'!$P$3)^2)/3)/'판정 기준'!$B$7),0)</f>
        <v>80</v>
      </c>
      <c r="AD139" s="24" t="n">
        <f aca="false">ROUND(100*(1-SQRT(((S139-'포지션 정의'!$N$4)^2+(T139-'포지션 정의'!$O$4)^2+(U139-'포지션 정의'!$P$4)^2)/3)/'판정 기준'!$B$7),0)</f>
        <v>74</v>
      </c>
      <c r="AE139" s="24" t="n">
        <f aca="false">ROUND(100*(1-SQRT(((S139-'포지션 정의'!$N$5)^2+(T139-'포지션 정의'!$O$5)^2+(U139-'포지션 정의'!$P$5)^2)/3)/'판정 기준'!$B$7),0)</f>
        <v>84</v>
      </c>
      <c r="AF139" s="24" t="n">
        <f aca="false">ROUND(100*(1-SQRT(((S139-'포지션 정의'!$N$6)^2+(T139-'포지션 정의'!$O$6)^2+(U139-'포지션 정의'!$P$6)^2)/3)/'판정 기준'!$B$7),0)</f>
        <v>77</v>
      </c>
      <c r="AG139" s="24" t="n">
        <f aca="false">ROUND(100*(1-SQRT(((S139-'포지션 정의'!$N$7)^2+(T139-'포지션 정의'!$O$7)^2+(U139-'포지션 정의'!$P$7)^2)/3)/'판정 기준'!$B$7),0)</f>
        <v>84</v>
      </c>
      <c r="AH139" s="24" t="n">
        <f aca="false">ROUND(100*(1-SQRT(((S139-'포지션 정의'!$N$8)^2+(T139-'포지션 정의'!$O$8)^2+(U139-'포지션 정의'!$P$8)^2)/3)/'판정 기준'!$B$7),0)</f>
        <v>70</v>
      </c>
      <c r="AI139" s="24" t="n">
        <f aca="false">ROUND(100*(1-SQRT(((S139-'포지션 정의'!$N$9)^2+(T139-'포지션 정의'!$O$9)^2+(U139-'포지션 정의'!$P$9)^2)/3)/'판정 기준'!$B$7),0)</f>
        <v>96</v>
      </c>
      <c r="AJ139" s="23" t="str">
        <f aca="false">IF(G139&gt;='판정 기준'!$B$8,"경기긴장도, ","")&amp;IF(Q139&gt;='판정 기준'!$B$8,"사회적 도움 활용, ","")&amp;IF(K139&gt;='판정 기준'!$B$8,"경기 준비 능력, ","")&amp;IF(N139&gt;='판정 기준'!$B$8,"실수 후 회복력, ","")&amp;IF(P139&gt;='판정 기준'!$B$8,"자기 통제력, ","")</f>
        <v>경기긴장도, 사회적 도움 활용, 경기 준비 능력, 실수 후 회복력, 자기 통제력, </v>
      </c>
      <c r="AK139" s="23" t="n">
        <f aca="false">IF(AND(G139&lt;'판정 기준'!$B$8,OR(AJ139&lt;&gt;"",AP139&lt;&gt;"경기긴장도")),G139,0)</f>
        <v>0</v>
      </c>
      <c r="AL139" s="23" t="n">
        <f aca="false">IF(AND(Q139&lt;'판정 기준'!$B$8,OR(AJ139&lt;&gt;"",AP139&lt;&gt;"사회적 도움 활용")),Q139,0)</f>
        <v>0</v>
      </c>
      <c r="AM139" s="23" t="n">
        <f aca="false">IF(AND(K139&lt;'판정 기준'!$B$8,OR(AJ139&lt;&gt;"",AP139&lt;&gt;"경기 준비 능력")),K139,0)</f>
        <v>0</v>
      </c>
      <c r="AN139" s="23" t="n">
        <f aca="false">IF(AND(N139&lt;'판정 기준'!$B$8,OR(AJ139&lt;&gt;"",AP139&lt;&gt;"실수 후 회복력")),N139,0)</f>
        <v>0</v>
      </c>
      <c r="AO139" s="23" t="n">
        <f aca="false">IF(AND(P139&lt;'판정 기준'!$B$8,OR(AJ139&lt;&gt;"",AP139&lt;&gt;"자기 통제력")),P139,0)</f>
        <v>0</v>
      </c>
      <c r="AP139" s="23" t="str">
        <f aca="false">IF(Q139=MAX(G139,Q139,K139,N139,P139),"사회적 도움 활용",IF(P139=MAX(G139,Q139,K139,N139,P139),"자기 통제력",IF(G139=MAX(G139,Q139,K139,N139,P139),"경기긴장도",IF(K139=MAX(G139,Q139,K139,N139,P139),"경기 준비 능력","실수 후 회복력"))))</f>
        <v>사회적 도움 활용</v>
      </c>
    </row>
    <row r="140" customFormat="false" ht="17.15" hidden="false" customHeight="false" outlineLevel="0" collapsed="false">
      <c r="A140" s="13" t="s">
        <v>358</v>
      </c>
      <c r="B140" s="13" t="s">
        <v>187</v>
      </c>
      <c r="C140" s="13" t="s">
        <v>355</v>
      </c>
      <c r="D140" s="14" t="n">
        <v>46149</v>
      </c>
      <c r="E140" s="41" t="s">
        <v>193</v>
      </c>
      <c r="F140" s="42" t="n">
        <v>4.1</v>
      </c>
      <c r="G140" s="42" t="n">
        <v>3.1</v>
      </c>
      <c r="H140" s="42" t="n">
        <v>3.5</v>
      </c>
      <c r="I140" s="42" t="n">
        <v>2.2</v>
      </c>
      <c r="J140" s="42" t="n">
        <v>3.5</v>
      </c>
      <c r="K140" s="42" t="n">
        <v>5.2</v>
      </c>
      <c r="L140" s="42" t="n">
        <v>5</v>
      </c>
      <c r="M140" s="42" t="n">
        <v>5.4</v>
      </c>
      <c r="N140" s="42" t="n">
        <v>4.4</v>
      </c>
      <c r="O140" s="42" t="n">
        <v>4.5</v>
      </c>
      <c r="P140" s="42" t="n">
        <v>3.7</v>
      </c>
      <c r="Q140" s="42" t="n">
        <v>5.2</v>
      </c>
      <c r="R140" s="42" t="n">
        <v>5.7</v>
      </c>
      <c r="S140" s="37" t="n">
        <f aca="false">AVERAGE(G140:J140)</f>
        <v>3.075</v>
      </c>
      <c r="T140" s="37" t="n">
        <f aca="false">AVERAGE(K140:M140)</f>
        <v>5.2</v>
      </c>
      <c r="U140" s="37" t="n">
        <f aca="false">AVERAGE(N140:O140)</f>
        <v>4.45</v>
      </c>
      <c r="V140" s="23" t="str">
        <f aca="false">IF(S140&gt;='판정 기준'!$B$3,"H","L")&amp;IF(T140&gt;='판정 기준'!$B$3,"H","L")&amp;IF(U140&gt;='판정 기준'!$B$3,"H","L")</f>
        <v>LHL</v>
      </c>
      <c r="W140" s="36" t="str">
        <f aca="false">INDEX('포지션 정의'!$A$2:$A$9,MATCH(V140,'포지션 정의'!$D$2:$D$9,0))</f>
        <v>A</v>
      </c>
      <c r="X140" s="36" t="str">
        <f aca="false">INDEX('포지션 정의'!$B$2:$B$9,MATCH(V140,'포지션 정의'!$D$2:$D$9,0))</f>
        <v>섬세한 준비형</v>
      </c>
      <c r="Y140" s="43" t="str">
        <f aca="false">IF(AJ140="","가장 높은 지표: "&amp;AP140,LEFT(AJ140,LEN(AJ140)-2))</f>
        <v>사회적 도움 활용, 경기 준비 능력</v>
      </c>
      <c r="Z140" s="43" t="str">
        <f aca="false">IF(MAX(AK140:AO140)=0,"심화: "&amp;IF(N140=MIN(G140,Q140,K140,N140,P140),"실수 후 회복력",IF(K140=MIN(G140,Q140,K140,N140,P140),"경기 준비 능력",IF(G140=MIN(G140,Q140,K140,N140,P140),"경기긴장도",IF(P140=MIN(G140,Q140,K140,N140,P140),"자기 통제력","사회적 도움 활용")))),IF(MAX(AK140:AO140)&gt;='판정 기준'!$B$8-'판정 기준'!$B$4,IF(AN140=MAX(AK140:AO140),"실수 후 회복력",IF(AM140=MAX(AK140:AO140),"경기 준비 능력",IF(AK140=MAX(AK140:AO140),"경기긴장도",IF(AO140=MAX(AK140:AO140),"자기 통제력","사회적 도움 활용")))),IF(AN140&gt;0,"실수 후 회복력",IF(AM140&gt;0,"경기 준비 능력",IF(AK140&gt;0,"경기긴장도",IF(AO140&gt;0,"자기 통제력","사회적 도움 활용"))))))</f>
        <v>실수 후 회복력</v>
      </c>
      <c r="AA140" s="43" t="str">
        <f aca="false">INDEX('포지션 정의'!$L$2:$L$9,MATCH(V140,'포지션 정의'!$D$2:$D$9,0))</f>
        <v>로베르트 레반도프스키 · 제임스 밀너 · 마르틴 외데고르</v>
      </c>
      <c r="AB140" s="24" t="n">
        <f aca="false">ROUND(100*(1-SQRT(((S140-'포지션 정의'!$N$2)^2+(T140-'포지션 정의'!$O$2)^2+(U140-'포지션 정의'!$P$2)^2)/3)/'판정 기준'!$B$7),0)</f>
        <v>89</v>
      </c>
      <c r="AC140" s="24" t="n">
        <f aca="false">ROUND(100*(1-SQRT(((S140-'포지션 정의'!$N$3)^2+(T140-'포지션 정의'!$O$3)^2+(U140-'포지션 정의'!$P$3)^2)/3)/'판정 기준'!$B$7),0)</f>
        <v>74</v>
      </c>
      <c r="AD140" s="24" t="n">
        <f aca="false">ROUND(100*(1-SQRT(((S140-'포지션 정의'!$N$4)^2+(T140-'포지션 정의'!$O$4)^2+(U140-'포지션 정의'!$P$4)^2)/3)/'판정 기준'!$B$7),0)</f>
        <v>70</v>
      </c>
      <c r="AE140" s="24" t="n">
        <f aca="false">ROUND(100*(1-SQRT(((S140-'포지션 정의'!$N$5)^2+(T140-'포지션 정의'!$O$5)^2+(U140-'포지션 정의'!$P$5)^2)/3)/'판정 기준'!$B$7),0)</f>
        <v>69</v>
      </c>
      <c r="AF140" s="24" t="n">
        <f aca="false">ROUND(100*(1-SQRT(((S140-'포지션 정의'!$N$6)^2+(T140-'포지션 정의'!$O$6)^2+(U140-'포지션 정의'!$P$6)^2)/3)/'판정 기준'!$B$7),0)</f>
        <v>80</v>
      </c>
      <c r="AG140" s="24" t="n">
        <f aca="false">ROUND(100*(1-SQRT(((S140-'포지션 정의'!$N$7)^2+(T140-'포지션 정의'!$O$7)^2+(U140-'포지션 정의'!$P$7)^2)/3)/'판정 기준'!$B$7),0)</f>
        <v>88</v>
      </c>
      <c r="AH140" s="24" t="n">
        <f aca="false">ROUND(100*(1-SQRT(((S140-'포지션 정의'!$N$8)^2+(T140-'포지션 정의'!$O$8)^2+(U140-'포지션 정의'!$P$8)^2)/3)/'판정 기준'!$B$7),0)</f>
        <v>80</v>
      </c>
      <c r="AI140" s="24" t="n">
        <f aca="false">ROUND(100*(1-SQRT(((S140-'포지션 정의'!$N$9)^2+(T140-'포지션 정의'!$O$9)^2+(U140-'포지션 정의'!$P$9)^2)/3)/'판정 기준'!$B$7),0)</f>
        <v>74</v>
      </c>
      <c r="AJ140" s="23" t="str">
        <f aca="false">IF(G140&gt;='판정 기준'!$B$8,"경기긴장도, ","")&amp;IF(Q140&gt;='판정 기준'!$B$8,"사회적 도움 활용, ","")&amp;IF(K140&gt;='판정 기준'!$B$8,"경기 준비 능력, ","")&amp;IF(N140&gt;='판정 기준'!$B$8,"실수 후 회복력, ","")&amp;IF(P140&gt;='판정 기준'!$B$8,"자기 통제력, ","")</f>
        <v>사회적 도움 활용, 경기 준비 능력, </v>
      </c>
      <c r="AK140" s="23" t="n">
        <f aca="false">IF(AND(G140&lt;'판정 기준'!$B$8,OR(AJ140&lt;&gt;"",AP140&lt;&gt;"경기긴장도")),G140,0)</f>
        <v>3.1</v>
      </c>
      <c r="AL140" s="23" t="n">
        <f aca="false">IF(AND(Q140&lt;'판정 기준'!$B$8,OR(AJ140&lt;&gt;"",AP140&lt;&gt;"사회적 도움 활용")),Q140,0)</f>
        <v>0</v>
      </c>
      <c r="AM140" s="23" t="n">
        <f aca="false">IF(AND(K140&lt;'판정 기준'!$B$8,OR(AJ140&lt;&gt;"",AP140&lt;&gt;"경기 준비 능력")),K140,0)</f>
        <v>0</v>
      </c>
      <c r="AN140" s="23" t="n">
        <f aca="false">IF(AND(N140&lt;'판정 기준'!$B$8,OR(AJ140&lt;&gt;"",AP140&lt;&gt;"실수 후 회복력")),N140,0)</f>
        <v>4.4</v>
      </c>
      <c r="AO140" s="23" t="n">
        <f aca="false">IF(AND(P140&lt;'판정 기준'!$B$8,OR(AJ140&lt;&gt;"",AP140&lt;&gt;"자기 통제력")),P140,0)</f>
        <v>3.7</v>
      </c>
      <c r="AP140" s="23" t="str">
        <f aca="false">IF(Q140=MAX(G140,Q140,K140,N140,P140),"사회적 도움 활용",IF(P140=MAX(G140,Q140,K140,N140,P140),"자기 통제력",IF(G140=MAX(G140,Q140,K140,N140,P140),"경기긴장도",IF(K140=MAX(G140,Q140,K140,N140,P140),"경기 준비 능력","실수 후 회복력"))))</f>
        <v>사회적 도움 활용</v>
      </c>
    </row>
    <row r="141" customFormat="false" ht="17.15" hidden="false" customHeight="false" outlineLevel="0" collapsed="false">
      <c r="A141" s="13" t="s">
        <v>359</v>
      </c>
      <c r="B141" s="13" t="s">
        <v>187</v>
      </c>
      <c r="C141" s="13" t="s">
        <v>355</v>
      </c>
      <c r="D141" s="14" t="n">
        <v>46149</v>
      </c>
      <c r="E141" s="41" t="s">
        <v>198</v>
      </c>
      <c r="F141" s="42" t="n">
        <v>4.3</v>
      </c>
      <c r="G141" s="42" t="n">
        <v>4.9</v>
      </c>
      <c r="H141" s="42" t="n">
        <v>4.7</v>
      </c>
      <c r="I141" s="42" t="n">
        <v>5</v>
      </c>
      <c r="J141" s="42" t="n">
        <v>4.7</v>
      </c>
      <c r="K141" s="42" t="n">
        <v>3.5</v>
      </c>
      <c r="L141" s="42" t="n">
        <v>3.3</v>
      </c>
      <c r="M141" s="42" t="n">
        <v>3.6</v>
      </c>
      <c r="N141" s="42" t="n">
        <v>5</v>
      </c>
      <c r="O141" s="42" t="n">
        <v>4.8</v>
      </c>
      <c r="P141" s="42" t="n">
        <v>3.3</v>
      </c>
      <c r="Q141" s="42" t="n">
        <v>3.8</v>
      </c>
      <c r="R141" s="42" t="n">
        <v>5.3</v>
      </c>
      <c r="S141" s="37" t="n">
        <f aca="false">AVERAGE(G141:J141)</f>
        <v>4.825</v>
      </c>
      <c r="T141" s="37" t="n">
        <f aca="false">AVERAGE(K141:M141)</f>
        <v>3.46666666666667</v>
      </c>
      <c r="U141" s="37" t="n">
        <f aca="false">AVERAGE(N141:O141)</f>
        <v>4.9</v>
      </c>
      <c r="V141" s="23" t="str">
        <f aca="false">IF(S141&gt;='판정 기준'!$B$3,"H","L")&amp;IF(T141&gt;='판정 기준'!$B$3,"H","L")&amp;IF(U141&gt;='판정 기준'!$B$3,"H","L")</f>
        <v>HLH</v>
      </c>
      <c r="W141" s="36" t="str">
        <f aca="false">INDEX('포지션 정의'!$A$2:$A$9,MATCH(V141,'포지션 정의'!$D$2:$D$9,0))</f>
        <v>D</v>
      </c>
      <c r="X141" s="36" t="str">
        <f aca="false">INDEX('포지션 정의'!$B$2:$B$9,MATCH(V141,'포지션 정의'!$D$2:$D$9,0))</f>
        <v>실전 승부사형</v>
      </c>
      <c r="Y141" s="43" t="str">
        <f aca="false">IF(AJ141="","가장 높은 지표: "&amp;AP141,LEFT(AJ141,LEN(AJ141)-2))</f>
        <v>경기긴장도, 실수 후 회복력</v>
      </c>
      <c r="Z141" s="43" t="str">
        <f aca="false">IF(MAX(AK141:AO141)=0,"심화: "&amp;IF(N141=MIN(G141,Q141,K141,N141,P141),"실수 후 회복력",IF(K141=MIN(G141,Q141,K141,N141,P141),"경기 준비 능력",IF(G141=MIN(G141,Q141,K141,N141,P141),"경기긴장도",IF(P141=MIN(G141,Q141,K141,N141,P141),"자기 통제력","사회적 도움 활용")))),IF(MAX(AK141:AO141)&gt;='판정 기준'!$B$8-'판정 기준'!$B$4,IF(AN141=MAX(AK141:AO141),"실수 후 회복력",IF(AM141=MAX(AK141:AO141),"경기 준비 능력",IF(AK141=MAX(AK141:AO141),"경기긴장도",IF(AO141=MAX(AK141:AO141),"자기 통제력","사회적 도움 활용")))),IF(AN141&gt;0,"실수 후 회복력",IF(AM141&gt;0,"경기 준비 능력",IF(AK141&gt;0,"경기긴장도",IF(AO141&gt;0,"자기 통제력","사회적 도움 활용"))))))</f>
        <v>경기 준비 능력</v>
      </c>
      <c r="AA141" s="43" t="str">
        <f aca="false">INDEX('포지션 정의'!$L$2:$L$9,MATCH(V141,'포지션 정의'!$D$2:$D$9,0))</f>
        <v>즐라탄 이브라히모비치 · 호나우지뉴 · 디에고 마라도나</v>
      </c>
      <c r="AB141" s="24" t="n">
        <f aca="false">ROUND(100*(1-SQRT(((S141-'포지션 정의'!$N$2)^2+(T141-'포지션 정의'!$O$2)^2+(U141-'포지션 정의'!$P$2)^2)/3)/'판정 기준'!$B$7),0)</f>
        <v>74</v>
      </c>
      <c r="AC141" s="24" t="n">
        <f aca="false">ROUND(100*(1-SQRT(((S141-'포지션 정의'!$N$3)^2+(T141-'포지션 정의'!$O$3)^2+(U141-'포지션 정의'!$P$3)^2)/3)/'판정 기준'!$B$7),0)</f>
        <v>76</v>
      </c>
      <c r="AD141" s="24" t="n">
        <f aca="false">ROUND(100*(1-SQRT(((S141-'포지션 정의'!$N$4)^2+(T141-'포지션 정의'!$O$4)^2+(U141-'포지션 정의'!$P$4)^2)/3)/'판정 기준'!$B$7),0)</f>
        <v>86</v>
      </c>
      <c r="AE141" s="24" t="n">
        <f aca="false">ROUND(100*(1-SQRT(((S141-'포지션 정의'!$N$5)^2+(T141-'포지션 정의'!$O$5)^2+(U141-'포지션 정의'!$P$5)^2)/3)/'판정 기준'!$B$7),0)</f>
        <v>93</v>
      </c>
      <c r="AF141" s="24" t="n">
        <f aca="false">ROUND(100*(1-SQRT(((S141-'포지션 정의'!$N$6)^2+(T141-'포지션 정의'!$O$6)^2+(U141-'포지션 정의'!$P$6)^2)/3)/'판정 기준'!$B$7),0)</f>
        <v>87</v>
      </c>
      <c r="AG141" s="24" t="n">
        <f aca="false">ROUND(100*(1-SQRT(((S141-'포지션 정의'!$N$7)^2+(T141-'포지션 정의'!$O$7)^2+(U141-'포지션 정의'!$P$7)^2)/3)/'판정 기준'!$B$7),0)</f>
        <v>76</v>
      </c>
      <c r="AH141" s="24" t="n">
        <f aca="false">ROUND(100*(1-SQRT(((S141-'포지션 정의'!$N$8)^2+(T141-'포지션 정의'!$O$8)^2+(U141-'포지션 정의'!$P$8)^2)/3)/'판정 기준'!$B$7),0)</f>
        <v>82</v>
      </c>
      <c r="AI141" s="24" t="n">
        <f aca="false">ROUND(100*(1-SQRT(((S141-'포지션 정의'!$N$9)^2+(T141-'포지션 정의'!$O$9)^2+(U141-'포지션 정의'!$P$9)^2)/3)/'판정 기준'!$B$7),0)</f>
        <v>79</v>
      </c>
      <c r="AJ141" s="23" t="str">
        <f aca="false">IF(G141&gt;='판정 기준'!$B$8,"경기긴장도, ","")&amp;IF(Q141&gt;='판정 기준'!$B$8,"사회적 도움 활용, ","")&amp;IF(K141&gt;='판정 기준'!$B$8,"경기 준비 능력, ","")&amp;IF(N141&gt;='판정 기준'!$B$8,"실수 후 회복력, ","")&amp;IF(P141&gt;='판정 기준'!$B$8,"자기 통제력, ","")</f>
        <v>경기긴장도, 실수 후 회복력, </v>
      </c>
      <c r="AK141" s="23" t="n">
        <f aca="false">IF(AND(G141&lt;'판정 기준'!$B$8,OR(AJ141&lt;&gt;"",AP141&lt;&gt;"경기긴장도")),G141,0)</f>
        <v>0</v>
      </c>
      <c r="AL141" s="23" t="n">
        <f aca="false">IF(AND(Q141&lt;'판정 기준'!$B$8,OR(AJ141&lt;&gt;"",AP141&lt;&gt;"사회적 도움 활용")),Q141,0)</f>
        <v>3.8</v>
      </c>
      <c r="AM141" s="23" t="n">
        <f aca="false">IF(AND(K141&lt;'판정 기준'!$B$8,OR(AJ141&lt;&gt;"",AP141&lt;&gt;"경기 준비 능력")),K141,0)</f>
        <v>3.5</v>
      </c>
      <c r="AN141" s="23" t="n">
        <f aca="false">IF(AND(N141&lt;'판정 기준'!$B$8,OR(AJ141&lt;&gt;"",AP141&lt;&gt;"실수 후 회복력")),N141,0)</f>
        <v>0</v>
      </c>
      <c r="AO141" s="23" t="n">
        <f aca="false">IF(AND(P141&lt;'판정 기준'!$B$8,OR(AJ141&lt;&gt;"",AP141&lt;&gt;"자기 통제력")),P141,0)</f>
        <v>3.3</v>
      </c>
      <c r="AP141" s="23" t="str">
        <f aca="false">IF(Q141=MAX(G141,Q141,K141,N141,P141),"사회적 도움 활용",IF(P141=MAX(G141,Q141,K141,N141,P141),"자기 통제력",IF(G141=MAX(G141,Q141,K141,N141,P141),"경기긴장도",IF(K141=MAX(G141,Q141,K141,N141,P141),"경기 준비 능력","실수 후 회복력"))))</f>
        <v>실수 후 회복력</v>
      </c>
    </row>
    <row r="142" customFormat="false" ht="17.15" hidden="false" customHeight="false" outlineLevel="0" collapsed="false">
      <c r="A142" s="13" t="s">
        <v>360</v>
      </c>
      <c r="B142" s="13" t="s">
        <v>187</v>
      </c>
      <c r="C142" s="13" t="s">
        <v>355</v>
      </c>
      <c r="D142" s="14" t="n">
        <v>46149</v>
      </c>
      <c r="E142" s="41" t="s">
        <v>195</v>
      </c>
      <c r="F142" s="42" t="n">
        <v>4</v>
      </c>
      <c r="G142" s="42" t="n">
        <v>3.2</v>
      </c>
      <c r="H142" s="42" t="n">
        <v>3.3</v>
      </c>
      <c r="I142" s="42" t="n">
        <v>3.6</v>
      </c>
      <c r="J142" s="42" t="n">
        <v>3.3</v>
      </c>
      <c r="K142" s="42" t="n">
        <v>4.8</v>
      </c>
      <c r="L142" s="42" t="n">
        <v>5</v>
      </c>
      <c r="M142" s="42" t="n">
        <v>4.6</v>
      </c>
      <c r="N142" s="42" t="n">
        <v>3.9</v>
      </c>
      <c r="O142" s="42" t="n">
        <v>3.3</v>
      </c>
      <c r="P142" s="42" t="n">
        <v>4.2</v>
      </c>
      <c r="Q142" s="42" t="n">
        <v>4</v>
      </c>
      <c r="R142" s="42" t="n">
        <v>5.3</v>
      </c>
      <c r="S142" s="37" t="n">
        <f aca="false">AVERAGE(G142:J142)</f>
        <v>3.35</v>
      </c>
      <c r="T142" s="37" t="n">
        <f aca="false">AVERAGE(K142:M142)</f>
        <v>4.8</v>
      </c>
      <c r="U142" s="37" t="n">
        <f aca="false">AVERAGE(N142:O142)</f>
        <v>3.6</v>
      </c>
      <c r="V142" s="23" t="str">
        <f aca="false">IF(S142&gt;='판정 기준'!$B$3,"H","L")&amp;IF(T142&gt;='판정 기준'!$B$3,"H","L")&amp;IF(U142&gt;='판정 기준'!$B$3,"H","L")</f>
        <v>LHL</v>
      </c>
      <c r="W142" s="36" t="str">
        <f aca="false">INDEX('포지션 정의'!$A$2:$A$9,MATCH(V142,'포지션 정의'!$D$2:$D$9,0))</f>
        <v>A</v>
      </c>
      <c r="X142" s="36" t="str">
        <f aca="false">INDEX('포지션 정의'!$B$2:$B$9,MATCH(V142,'포지션 정의'!$D$2:$D$9,0))</f>
        <v>섬세한 준비형</v>
      </c>
      <c r="Y142" s="43" t="str">
        <f aca="false">IF(AJ142="","가장 높은 지표: "&amp;AP142,LEFT(AJ142,LEN(AJ142)-2))</f>
        <v>경기 준비 능력</v>
      </c>
      <c r="Z142" s="43" t="str">
        <f aca="false">IF(MAX(AK142:AO142)=0,"심화: "&amp;IF(N142=MIN(G142,Q142,K142,N142,P142),"실수 후 회복력",IF(K142=MIN(G142,Q142,K142,N142,P142),"경기 준비 능력",IF(G142=MIN(G142,Q142,K142,N142,P142),"경기긴장도",IF(P142=MIN(G142,Q142,K142,N142,P142),"자기 통제력","사회적 도움 활용")))),IF(MAX(AK142:AO142)&gt;='판정 기준'!$B$8-'판정 기준'!$B$4,IF(AN142=MAX(AK142:AO142),"실수 후 회복력",IF(AM142=MAX(AK142:AO142),"경기 준비 능력",IF(AK142=MAX(AK142:AO142),"경기긴장도",IF(AO142=MAX(AK142:AO142),"자기 통제력","사회적 도움 활용")))),IF(AN142&gt;0,"실수 후 회복력",IF(AM142&gt;0,"경기 준비 능력",IF(AK142&gt;0,"경기긴장도",IF(AO142&gt;0,"자기 통제력","사회적 도움 활용"))))))</f>
        <v>실수 후 회복력</v>
      </c>
      <c r="AA142" s="43" t="str">
        <f aca="false">INDEX('포지션 정의'!$L$2:$L$9,MATCH(V142,'포지션 정의'!$D$2:$D$9,0))</f>
        <v>로베르트 레반도프스키 · 제임스 밀너 · 마르틴 외데고르</v>
      </c>
      <c r="AB142" s="24" t="n">
        <f aca="false">ROUND(100*(1-SQRT(((S142-'포지션 정의'!$N$2)^2+(T142-'포지션 정의'!$O$2)^2+(U142-'포지션 정의'!$P$2)^2)/3)/'판정 기준'!$B$7),0)</f>
        <v>93</v>
      </c>
      <c r="AC142" s="24" t="n">
        <f aca="false">ROUND(100*(1-SQRT(((S142-'포지션 정의'!$N$3)^2+(T142-'포지션 정의'!$O$3)^2+(U142-'포지션 정의'!$P$3)^2)/3)/'판정 기준'!$B$7),0)</f>
        <v>78</v>
      </c>
      <c r="AD142" s="24" t="n">
        <f aca="false">ROUND(100*(1-SQRT(((S142-'포지션 정의'!$N$4)^2+(T142-'포지션 정의'!$O$4)^2+(U142-'포지션 정의'!$P$4)^2)/3)/'판정 기준'!$B$7),0)</f>
        <v>76</v>
      </c>
      <c r="AE142" s="24" t="n">
        <f aca="false">ROUND(100*(1-SQRT(((S142-'포지션 정의'!$N$5)^2+(T142-'포지션 정의'!$O$5)^2+(U142-'포지션 정의'!$P$5)^2)/3)/'판정 기준'!$B$7),0)</f>
        <v>69</v>
      </c>
      <c r="AF142" s="24" t="n">
        <f aca="false">ROUND(100*(1-SQRT(((S142-'포지션 정의'!$N$6)^2+(T142-'포지션 정의'!$O$6)^2+(U142-'포지션 정의'!$P$6)^2)/3)/'판정 기준'!$B$7),0)</f>
        <v>78</v>
      </c>
      <c r="AG142" s="24" t="n">
        <f aca="false">ROUND(100*(1-SQRT(((S142-'포지션 정의'!$N$7)^2+(T142-'포지션 정의'!$O$7)^2+(U142-'포지션 정의'!$P$7)^2)/3)/'판정 기준'!$B$7),0)</f>
        <v>80</v>
      </c>
      <c r="AH142" s="24" t="n">
        <f aca="false">ROUND(100*(1-SQRT(((S142-'포지션 정의'!$N$8)^2+(T142-'포지션 정의'!$O$8)^2+(U142-'포지션 정의'!$P$8)^2)/3)/'판정 기준'!$B$7),0)</f>
        <v>87</v>
      </c>
      <c r="AI142" s="24" t="n">
        <f aca="false">ROUND(100*(1-SQRT(((S142-'포지션 정의'!$N$9)^2+(T142-'포지션 정의'!$O$9)^2+(U142-'포지션 정의'!$P$9)^2)/3)/'판정 기준'!$B$7),0)</f>
        <v>71</v>
      </c>
      <c r="AJ142" s="23" t="str">
        <f aca="false">IF(G142&gt;='판정 기준'!$B$8,"경기긴장도, ","")&amp;IF(Q142&gt;='판정 기준'!$B$8,"사회적 도움 활용, ","")&amp;IF(K142&gt;='판정 기준'!$B$8,"경기 준비 능력, ","")&amp;IF(N142&gt;='판정 기준'!$B$8,"실수 후 회복력, ","")&amp;IF(P142&gt;='판정 기준'!$B$8,"자기 통제력, ","")</f>
        <v>경기 준비 능력, </v>
      </c>
      <c r="AK142" s="23" t="n">
        <f aca="false">IF(AND(G142&lt;'판정 기준'!$B$8,OR(AJ142&lt;&gt;"",AP142&lt;&gt;"경기긴장도")),G142,0)</f>
        <v>3.2</v>
      </c>
      <c r="AL142" s="23" t="n">
        <f aca="false">IF(AND(Q142&lt;'판정 기준'!$B$8,OR(AJ142&lt;&gt;"",AP142&lt;&gt;"사회적 도움 활용")),Q142,0)</f>
        <v>4</v>
      </c>
      <c r="AM142" s="23" t="n">
        <f aca="false">IF(AND(K142&lt;'판정 기준'!$B$8,OR(AJ142&lt;&gt;"",AP142&lt;&gt;"경기 준비 능력")),K142,0)</f>
        <v>0</v>
      </c>
      <c r="AN142" s="23" t="n">
        <f aca="false">IF(AND(N142&lt;'판정 기준'!$B$8,OR(AJ142&lt;&gt;"",AP142&lt;&gt;"실수 후 회복력")),N142,0)</f>
        <v>3.9</v>
      </c>
      <c r="AO142" s="23" t="n">
        <f aca="false">IF(AND(P142&lt;'판정 기준'!$B$8,OR(AJ142&lt;&gt;"",AP142&lt;&gt;"자기 통제력")),P142,0)</f>
        <v>4.2</v>
      </c>
      <c r="AP142" s="23" t="str">
        <f aca="false">IF(Q142=MAX(G142,Q142,K142,N142,P142),"사회적 도움 활용",IF(P142=MAX(G142,Q142,K142,N142,P142),"자기 통제력",IF(G142=MAX(G142,Q142,K142,N142,P142),"경기긴장도",IF(K142=MAX(G142,Q142,K142,N142,P142),"경기 준비 능력","실수 후 회복력"))))</f>
        <v>경기 준비 능력</v>
      </c>
    </row>
    <row r="143" customFormat="false" ht="17.15" hidden="false" customHeight="false" outlineLevel="0" collapsed="false">
      <c r="A143" s="13" t="s">
        <v>361</v>
      </c>
      <c r="B143" s="13" t="s">
        <v>187</v>
      </c>
      <c r="C143" s="13" t="s">
        <v>355</v>
      </c>
      <c r="D143" s="14" t="n">
        <v>46149</v>
      </c>
      <c r="E143" s="41" t="s">
        <v>195</v>
      </c>
      <c r="F143" s="42" t="n">
        <v>4.8</v>
      </c>
      <c r="G143" s="42" t="n">
        <v>4.4</v>
      </c>
      <c r="H143" s="42" t="n">
        <v>3.8</v>
      </c>
      <c r="I143" s="42" t="n">
        <v>5.2</v>
      </c>
      <c r="J143" s="42" t="n">
        <v>4</v>
      </c>
      <c r="K143" s="42" t="n">
        <v>3.7</v>
      </c>
      <c r="L143" s="42" t="n">
        <v>3.5</v>
      </c>
      <c r="M143" s="42" t="n">
        <v>3.9</v>
      </c>
      <c r="N143" s="42" t="n">
        <v>5.9</v>
      </c>
      <c r="O143" s="42" t="n">
        <v>5.8</v>
      </c>
      <c r="P143" s="42" t="n">
        <v>5.2</v>
      </c>
      <c r="Q143" s="42" t="n">
        <v>5.2</v>
      </c>
      <c r="R143" s="42" t="n">
        <v>6</v>
      </c>
      <c r="S143" s="37" t="n">
        <f aca="false">AVERAGE(G143:J143)</f>
        <v>4.35</v>
      </c>
      <c r="T143" s="37" t="n">
        <f aca="false">AVERAGE(K143:M143)</f>
        <v>3.7</v>
      </c>
      <c r="U143" s="37" t="n">
        <f aca="false">AVERAGE(N143:O143)</f>
        <v>5.85</v>
      </c>
      <c r="V143" s="23" t="str">
        <f aca="false">IF(S143&gt;='판정 기준'!$B$3,"H","L")&amp;IF(T143&gt;='판정 기준'!$B$3,"H","L")&amp;IF(U143&gt;='판정 기준'!$B$3,"H","L")</f>
        <v>LLH</v>
      </c>
      <c r="W143" s="36" t="str">
        <f aca="false">INDEX('포지션 정의'!$A$2:$A$9,MATCH(V143,'포지션 정의'!$D$2:$D$9,0))</f>
        <v>E</v>
      </c>
      <c r="X143" s="36" t="str">
        <f aca="false">INDEX('포지션 정의'!$B$2:$B$9,MATCH(V143,'포지션 정의'!$D$2:$D$9,0))</f>
        <v>오뚝이 회복형</v>
      </c>
      <c r="Y143" s="43" t="str">
        <f aca="false">IF(AJ143="","가장 높은 지표: "&amp;AP143,LEFT(AJ143,LEN(AJ143)-2))</f>
        <v>사회적 도움 활용, 실수 후 회복력, 자기 통제력</v>
      </c>
      <c r="Z143" s="43" t="str">
        <f aca="false">IF(MAX(AK143:AO143)=0,"심화: "&amp;IF(N143=MIN(G143,Q143,K143,N143,P143),"실수 후 회복력",IF(K143=MIN(G143,Q143,K143,N143,P143),"경기 준비 능력",IF(G143=MIN(G143,Q143,K143,N143,P143),"경기긴장도",IF(P143=MIN(G143,Q143,K143,N143,P143),"자기 통제력","사회적 도움 활용")))),IF(MAX(AK143:AO143)&gt;='판정 기준'!$B$8-'판정 기준'!$B$4,IF(AN143=MAX(AK143:AO143),"실수 후 회복력",IF(AM143=MAX(AK143:AO143),"경기 준비 능력",IF(AK143=MAX(AK143:AO143),"경기긴장도",IF(AO143=MAX(AK143:AO143),"자기 통제력","사회적 도움 활용")))),IF(AN143&gt;0,"실수 후 회복력",IF(AM143&gt;0,"경기 준비 능력",IF(AK143&gt;0,"경기긴장도",IF(AO143&gt;0,"자기 통제력","사회적 도움 활용"))))))</f>
        <v>경기 준비 능력</v>
      </c>
      <c r="AA143" s="43" t="str">
        <f aca="false">INDEX('포지션 정의'!$L$2:$L$9,MATCH(V143,'포지션 정의'!$D$2:$D$9,0))</f>
        <v>올리비에 지루 · 디에고 포를란 · 라다멜 팔카오</v>
      </c>
      <c r="AB143" s="24" t="n">
        <f aca="false">ROUND(100*(1-SQRT(((S143-'포지션 정의'!$N$2)^2+(T143-'포지션 정의'!$O$2)^2+(U143-'포지션 정의'!$P$2)^2)/3)/'판정 기준'!$B$7),0)</f>
        <v>70</v>
      </c>
      <c r="AC143" s="24" t="n">
        <f aca="false">ROUND(100*(1-SQRT(((S143-'포지션 정의'!$N$3)^2+(T143-'포지션 정의'!$O$3)^2+(U143-'포지션 정의'!$P$3)^2)/3)/'판정 기준'!$B$7),0)</f>
        <v>69</v>
      </c>
      <c r="AD143" s="24" t="n">
        <f aca="false">ROUND(100*(1-SQRT(((S143-'포지션 정의'!$N$4)^2+(T143-'포지션 정의'!$O$4)^2+(U143-'포지션 정의'!$P$4)^2)/3)/'판정 기준'!$B$7),0)</f>
        <v>74</v>
      </c>
      <c r="AE143" s="24" t="n">
        <f aca="false">ROUND(100*(1-SQRT(((S143-'포지션 정의'!$N$5)^2+(T143-'포지션 정의'!$O$5)^2+(U143-'포지션 정의'!$P$5)^2)/3)/'판정 기준'!$B$7),0)</f>
        <v>88</v>
      </c>
      <c r="AF143" s="24" t="n">
        <f aca="false">ROUND(100*(1-SQRT(((S143-'포지션 정의'!$N$6)^2+(T143-'포지션 정의'!$O$6)^2+(U143-'포지션 정의'!$P$6)^2)/3)/'판정 기준'!$B$7),0)</f>
        <v>90</v>
      </c>
      <c r="AG143" s="24" t="n">
        <f aca="false">ROUND(100*(1-SQRT(((S143-'포지션 정의'!$N$7)^2+(T143-'포지션 정의'!$O$7)^2+(U143-'포지션 정의'!$P$7)^2)/3)/'판정 기준'!$B$7),0)</f>
        <v>80</v>
      </c>
      <c r="AH143" s="24" t="n">
        <f aca="false">ROUND(100*(1-SQRT(((S143-'포지션 정의'!$N$8)^2+(T143-'포지션 정의'!$O$8)^2+(U143-'포지션 정의'!$P$8)^2)/3)/'판정 기준'!$B$7),0)</f>
        <v>75</v>
      </c>
      <c r="AI143" s="24" t="n">
        <f aca="false">ROUND(100*(1-SQRT(((S143-'포지션 정의'!$N$9)^2+(T143-'포지션 정의'!$O$9)^2+(U143-'포지션 정의'!$P$9)^2)/3)/'판정 기준'!$B$7),0)</f>
        <v>79</v>
      </c>
      <c r="AJ143" s="23" t="str">
        <f aca="false">IF(G143&gt;='판정 기준'!$B$8,"경기긴장도, ","")&amp;IF(Q143&gt;='판정 기준'!$B$8,"사회적 도움 활용, ","")&amp;IF(K143&gt;='판정 기준'!$B$8,"경기 준비 능력, ","")&amp;IF(N143&gt;='판정 기준'!$B$8,"실수 후 회복력, ","")&amp;IF(P143&gt;='판정 기준'!$B$8,"자기 통제력, ","")</f>
        <v>사회적 도움 활용, 실수 후 회복력, 자기 통제력, </v>
      </c>
      <c r="AK143" s="23" t="n">
        <f aca="false">IF(AND(G143&lt;'판정 기준'!$B$8,OR(AJ143&lt;&gt;"",AP143&lt;&gt;"경기긴장도")),G143,0)</f>
        <v>4.4</v>
      </c>
      <c r="AL143" s="23" t="n">
        <f aca="false">IF(AND(Q143&lt;'판정 기준'!$B$8,OR(AJ143&lt;&gt;"",AP143&lt;&gt;"사회적 도움 활용")),Q143,0)</f>
        <v>0</v>
      </c>
      <c r="AM143" s="23" t="n">
        <f aca="false">IF(AND(K143&lt;'판정 기준'!$B$8,OR(AJ143&lt;&gt;"",AP143&lt;&gt;"경기 준비 능력")),K143,0)</f>
        <v>3.7</v>
      </c>
      <c r="AN143" s="23" t="n">
        <f aca="false">IF(AND(N143&lt;'판정 기준'!$B$8,OR(AJ143&lt;&gt;"",AP143&lt;&gt;"실수 후 회복력")),N143,0)</f>
        <v>0</v>
      </c>
      <c r="AO143" s="23" t="n">
        <f aca="false">IF(AND(P143&lt;'판정 기준'!$B$8,OR(AJ143&lt;&gt;"",AP143&lt;&gt;"자기 통제력")),P143,0)</f>
        <v>0</v>
      </c>
      <c r="AP143" s="23" t="str">
        <f aca="false">IF(Q143=MAX(G143,Q143,K143,N143,P143),"사회적 도움 활용",IF(P143=MAX(G143,Q143,K143,N143,P143),"자기 통제력",IF(G143=MAX(G143,Q143,K143,N143,P143),"경기긴장도",IF(K143=MAX(G143,Q143,K143,N143,P143),"경기 준비 능력","실수 후 회복력"))))</f>
        <v>실수 후 회복력</v>
      </c>
    </row>
    <row r="144" customFormat="false" ht="17.15" hidden="false" customHeight="false" outlineLevel="0" collapsed="false">
      <c r="A144" s="13" t="s">
        <v>362</v>
      </c>
      <c r="B144" s="13" t="s">
        <v>187</v>
      </c>
      <c r="C144" s="13" t="s">
        <v>355</v>
      </c>
      <c r="D144" s="14" t="n">
        <v>46149</v>
      </c>
      <c r="E144" s="41" t="s">
        <v>198</v>
      </c>
      <c r="F144" s="42" t="n">
        <v>4.4</v>
      </c>
      <c r="G144" s="42" t="n">
        <v>3.8</v>
      </c>
      <c r="H144" s="42" t="n">
        <v>3.7</v>
      </c>
      <c r="I144" s="42" t="n">
        <v>4.4</v>
      </c>
      <c r="J144" s="42" t="n">
        <v>3.8</v>
      </c>
      <c r="K144" s="42" t="n">
        <v>4.2</v>
      </c>
      <c r="L144" s="42" t="n">
        <v>3.7</v>
      </c>
      <c r="M144" s="42" t="n">
        <v>4.7</v>
      </c>
      <c r="N144" s="42" t="n">
        <v>5</v>
      </c>
      <c r="O144" s="42" t="n">
        <v>4.8</v>
      </c>
      <c r="P144" s="42" t="n">
        <v>4.3</v>
      </c>
      <c r="Q144" s="42" t="n">
        <v>3</v>
      </c>
      <c r="R144" s="42" t="n">
        <v>6</v>
      </c>
      <c r="S144" s="37" t="n">
        <f aca="false">AVERAGE(G144:J144)</f>
        <v>3.925</v>
      </c>
      <c r="T144" s="37" t="n">
        <f aca="false">AVERAGE(K144:M144)</f>
        <v>4.2</v>
      </c>
      <c r="U144" s="37" t="n">
        <f aca="false">AVERAGE(N144:O144)</f>
        <v>4.9</v>
      </c>
      <c r="V144" s="23" t="str">
        <f aca="false">IF(S144&gt;='판정 기준'!$B$3,"H","L")&amp;IF(T144&gt;='판정 기준'!$B$3,"H","L")&amp;IF(U144&gt;='판정 기준'!$B$3,"H","L")</f>
        <v>LLH</v>
      </c>
      <c r="W144" s="36" t="str">
        <f aca="false">INDEX('포지션 정의'!$A$2:$A$9,MATCH(V144,'포지션 정의'!$D$2:$D$9,0))</f>
        <v>E</v>
      </c>
      <c r="X144" s="36" t="str">
        <f aca="false">INDEX('포지션 정의'!$B$2:$B$9,MATCH(V144,'포지션 정의'!$D$2:$D$9,0))</f>
        <v>오뚝이 회복형</v>
      </c>
      <c r="Y144" s="43" t="str">
        <f aca="false">IF(AJ144="","가장 높은 지표: "&amp;AP144,LEFT(AJ144,LEN(AJ144)-2))</f>
        <v>실수 후 회복력</v>
      </c>
      <c r="Z144" s="43" t="str">
        <f aca="false">IF(MAX(AK144:AO144)=0,"심화: "&amp;IF(N144=MIN(G144,Q144,K144,N144,P144),"실수 후 회복력",IF(K144=MIN(G144,Q144,K144,N144,P144),"경기 준비 능력",IF(G144=MIN(G144,Q144,K144,N144,P144),"경기긴장도",IF(P144=MIN(G144,Q144,K144,N144,P144),"자기 통제력","사회적 도움 활용")))),IF(MAX(AK144:AO144)&gt;='판정 기준'!$B$8-'판정 기준'!$B$4,IF(AN144=MAX(AK144:AO144),"실수 후 회복력",IF(AM144=MAX(AK144:AO144),"경기 준비 능력",IF(AK144=MAX(AK144:AO144),"경기긴장도",IF(AO144=MAX(AK144:AO144),"자기 통제력","사회적 도움 활용")))),IF(AN144&gt;0,"실수 후 회복력",IF(AM144&gt;0,"경기 준비 능력",IF(AK144&gt;0,"경기긴장도",IF(AO144&gt;0,"자기 통제력","사회적 도움 활용"))))))</f>
        <v>경기 준비 능력</v>
      </c>
      <c r="AA144" s="43" t="str">
        <f aca="false">INDEX('포지션 정의'!$L$2:$L$9,MATCH(V144,'포지션 정의'!$D$2:$D$9,0))</f>
        <v>올리비에 지루 · 디에고 포를란 · 라다멜 팔카오</v>
      </c>
      <c r="AB144" s="24" t="n">
        <f aca="false">ROUND(100*(1-SQRT(((S144-'포지션 정의'!$N$2)^2+(T144-'포지션 정의'!$O$2)^2+(U144-'포지션 정의'!$P$2)^2)/3)/'판정 기준'!$B$7),0)</f>
        <v>83</v>
      </c>
      <c r="AC144" s="24" t="n">
        <f aca="false">ROUND(100*(1-SQRT(((S144-'포지션 정의'!$N$3)^2+(T144-'포지션 정의'!$O$3)^2+(U144-'포지션 정의'!$P$3)^2)/3)/'판정 기준'!$B$7),0)</f>
        <v>77</v>
      </c>
      <c r="AD144" s="24" t="n">
        <f aca="false">ROUND(100*(1-SQRT(((S144-'포지션 정의'!$N$4)^2+(T144-'포지션 정의'!$O$4)^2+(U144-'포지션 정의'!$P$4)^2)/3)/'판정 기준'!$B$7),0)</f>
        <v>80</v>
      </c>
      <c r="AE144" s="24" t="n">
        <f aca="false">ROUND(100*(1-SQRT(((S144-'포지션 정의'!$N$5)^2+(T144-'포지션 정의'!$O$5)^2+(U144-'포지션 정의'!$P$5)^2)/3)/'판정 기준'!$B$7),0)</f>
        <v>84</v>
      </c>
      <c r="AF144" s="24" t="n">
        <f aca="false">ROUND(100*(1-SQRT(((S144-'포지션 정의'!$N$6)^2+(T144-'포지션 정의'!$O$6)^2+(U144-'포지션 정의'!$P$6)^2)/3)/'판정 기준'!$B$7),0)</f>
        <v>94</v>
      </c>
      <c r="AG144" s="24" t="n">
        <f aca="false">ROUND(100*(1-SQRT(((S144-'포지션 정의'!$N$7)^2+(T144-'포지션 정의'!$O$7)^2+(U144-'포지션 정의'!$P$7)^2)/3)/'판정 기준'!$B$7),0)</f>
        <v>88</v>
      </c>
      <c r="AH144" s="24" t="n">
        <f aca="false">ROUND(100*(1-SQRT(((S144-'포지션 정의'!$N$8)^2+(T144-'포지션 정의'!$O$8)^2+(U144-'포지션 정의'!$P$8)^2)/3)/'판정 기준'!$B$7),0)</f>
        <v>86</v>
      </c>
      <c r="AI144" s="24" t="n">
        <f aca="false">ROUND(100*(1-SQRT(((S144-'포지션 정의'!$N$9)^2+(T144-'포지션 정의'!$O$9)^2+(U144-'포지션 정의'!$P$9)^2)/3)/'판정 기준'!$B$7),0)</f>
        <v>81</v>
      </c>
      <c r="AJ144" s="23" t="str">
        <f aca="false">IF(G144&gt;='판정 기준'!$B$8,"경기긴장도, ","")&amp;IF(Q144&gt;='판정 기준'!$B$8,"사회적 도움 활용, ","")&amp;IF(K144&gt;='판정 기준'!$B$8,"경기 준비 능력, ","")&amp;IF(N144&gt;='판정 기준'!$B$8,"실수 후 회복력, ","")&amp;IF(P144&gt;='판정 기준'!$B$8,"자기 통제력, ","")</f>
        <v>실수 후 회복력, </v>
      </c>
      <c r="AK144" s="23" t="n">
        <f aca="false">IF(AND(G144&lt;'판정 기준'!$B$8,OR(AJ144&lt;&gt;"",AP144&lt;&gt;"경기긴장도")),G144,0)</f>
        <v>3.8</v>
      </c>
      <c r="AL144" s="23" t="n">
        <f aca="false">IF(AND(Q144&lt;'판정 기준'!$B$8,OR(AJ144&lt;&gt;"",AP144&lt;&gt;"사회적 도움 활용")),Q144,0)</f>
        <v>3</v>
      </c>
      <c r="AM144" s="23" t="n">
        <f aca="false">IF(AND(K144&lt;'판정 기준'!$B$8,OR(AJ144&lt;&gt;"",AP144&lt;&gt;"경기 준비 능력")),K144,0)</f>
        <v>4.2</v>
      </c>
      <c r="AN144" s="23" t="n">
        <f aca="false">IF(AND(N144&lt;'판정 기준'!$B$8,OR(AJ144&lt;&gt;"",AP144&lt;&gt;"실수 후 회복력")),N144,0)</f>
        <v>0</v>
      </c>
      <c r="AO144" s="23" t="n">
        <f aca="false">IF(AND(P144&lt;'판정 기준'!$B$8,OR(AJ144&lt;&gt;"",AP144&lt;&gt;"자기 통제력")),P144,0)</f>
        <v>4.3</v>
      </c>
      <c r="AP144" s="23" t="str">
        <f aca="false">IF(Q144=MAX(G144,Q144,K144,N144,P144),"사회적 도움 활용",IF(P144=MAX(G144,Q144,K144,N144,P144),"자기 통제력",IF(G144=MAX(G144,Q144,K144,N144,P144),"경기긴장도",IF(K144=MAX(G144,Q144,K144,N144,P144),"경기 준비 능력","실수 후 회복력"))))</f>
        <v>실수 후 회복력</v>
      </c>
    </row>
    <row r="145" customFormat="false" ht="17.15" hidden="false" customHeight="false" outlineLevel="0" collapsed="false">
      <c r="A145" s="13" t="s">
        <v>363</v>
      </c>
      <c r="B145" s="13" t="s">
        <v>187</v>
      </c>
      <c r="C145" s="13" t="s">
        <v>355</v>
      </c>
      <c r="D145" s="14" t="n">
        <v>46149</v>
      </c>
      <c r="E145" s="41" t="s">
        <v>198</v>
      </c>
      <c r="F145" s="42" t="n">
        <v>3.6</v>
      </c>
      <c r="G145" s="42" t="n">
        <v>4.3</v>
      </c>
      <c r="H145" s="42" t="n">
        <v>4.2</v>
      </c>
      <c r="I145" s="42" t="n">
        <v>4.2</v>
      </c>
      <c r="J145" s="42" t="n">
        <v>4</v>
      </c>
      <c r="K145" s="42" t="n">
        <v>4.2</v>
      </c>
      <c r="L145" s="42" t="n">
        <v>4.7</v>
      </c>
      <c r="M145" s="42" t="n">
        <v>3.9</v>
      </c>
      <c r="N145" s="42" t="n">
        <v>1.7</v>
      </c>
      <c r="O145" s="42" t="n">
        <v>1.8</v>
      </c>
      <c r="P145" s="42" t="n">
        <v>5.5</v>
      </c>
      <c r="Q145" s="42" t="n">
        <v>4.4</v>
      </c>
      <c r="R145" s="42" t="n">
        <v>4.7</v>
      </c>
      <c r="S145" s="37" t="n">
        <f aca="false">AVERAGE(G145:J145)</f>
        <v>4.175</v>
      </c>
      <c r="T145" s="37" t="n">
        <f aca="false">AVERAGE(K145:M145)</f>
        <v>4.26666666666667</v>
      </c>
      <c r="U145" s="37" t="n">
        <f aca="false">AVERAGE(N145:O145)</f>
        <v>1.75</v>
      </c>
      <c r="V145" s="23" t="str">
        <f aca="false">IF(S145&gt;='판정 기준'!$B$3,"H","L")&amp;IF(T145&gt;='판정 기준'!$B$3,"H","L")&amp;IF(U145&gt;='판정 기준'!$B$3,"H","L")</f>
        <v>LLL</v>
      </c>
      <c r="W145" s="36" t="str">
        <f aca="false">INDEX('포지션 정의'!$A$2:$A$9,MATCH(V145,'포지션 정의'!$D$2:$D$9,0))</f>
        <v>G</v>
      </c>
      <c r="X145" s="36" t="str">
        <f aca="false">INDEX('포지션 정의'!$B$2:$B$9,MATCH(V145,'포지션 정의'!$D$2:$D$9,0))</f>
        <v>스펀지 흡수형</v>
      </c>
      <c r="Y145" s="43" t="str">
        <f aca="false">IF(AJ145="","가장 높은 지표: "&amp;AP145,LEFT(AJ145,LEN(AJ145)-2))</f>
        <v>자기 통제력</v>
      </c>
      <c r="Z145" s="43" t="str">
        <f aca="false">IF(MAX(AK145:AO145)=0,"심화: "&amp;IF(N145=MIN(G145,Q145,K145,N145,P145),"실수 후 회복력",IF(K145=MIN(G145,Q145,K145,N145,P145),"경기 준비 능력",IF(G145=MIN(G145,Q145,K145,N145,P145),"경기긴장도",IF(P145=MIN(G145,Q145,K145,N145,P145),"자기 통제력","사회적 도움 활용")))),IF(MAX(AK145:AO145)&gt;='판정 기준'!$B$8-'판정 기준'!$B$4,IF(AN145=MAX(AK145:AO145),"실수 후 회복력",IF(AM145=MAX(AK145:AO145),"경기 준비 능력",IF(AK145=MAX(AK145:AO145),"경기긴장도",IF(AO145=MAX(AK145:AO145),"자기 통제력","사회적 도움 활용")))),IF(AN145&gt;0,"실수 후 회복력",IF(AM145&gt;0,"경기 준비 능력",IF(AK145&gt;0,"경기긴장도",IF(AO145&gt;0,"자기 통제력","사회적 도움 활용"))))))</f>
        <v>실수 후 회복력</v>
      </c>
      <c r="AA145" s="43" t="str">
        <f aca="false">INDEX('포지션 정의'!$L$2:$L$9,MATCH(V145,'포지션 정의'!$D$2:$D$9,0))</f>
        <v>디디에 드로그바 · 앙투안 그리즈만 · 모하메드 살라</v>
      </c>
      <c r="AB145" s="24" t="n">
        <f aca="false">ROUND(100*(1-SQRT(((S145-'포지션 정의'!$N$2)^2+(T145-'포지션 정의'!$O$2)^2+(U145-'포지션 정의'!$P$2)^2)/3)/'판정 기준'!$B$7),0)</f>
        <v>74</v>
      </c>
      <c r="AC145" s="24" t="n">
        <f aca="false">ROUND(100*(1-SQRT(((S145-'포지션 정의'!$N$3)^2+(T145-'포지션 정의'!$O$3)^2+(U145-'포지션 정의'!$P$3)^2)/3)/'판정 기준'!$B$7),0)</f>
        <v>71</v>
      </c>
      <c r="AD145" s="24" t="n">
        <f aca="false">ROUND(100*(1-SQRT(((S145-'포지션 정의'!$N$4)^2+(T145-'포지션 정의'!$O$4)^2+(U145-'포지션 정의'!$P$4)^2)/3)/'판정 기준'!$B$7),0)</f>
        <v>73</v>
      </c>
      <c r="AE145" s="24" t="n">
        <f aca="false">ROUND(100*(1-SQRT(((S145-'포지션 정의'!$N$5)^2+(T145-'포지션 정의'!$O$5)^2+(U145-'포지션 정의'!$P$5)^2)/3)/'판정 기준'!$B$7),0)</f>
        <v>58</v>
      </c>
      <c r="AF145" s="24" t="n">
        <f aca="false">ROUND(100*(1-SQRT(((S145-'포지션 정의'!$N$6)^2+(T145-'포지션 정의'!$O$6)^2+(U145-'포지션 정의'!$P$6)^2)/3)/'판정 기준'!$B$7),0)</f>
        <v>60</v>
      </c>
      <c r="AG145" s="24" t="n">
        <f aca="false">ROUND(100*(1-SQRT(((S145-'포지션 정의'!$N$7)^2+(T145-'포지션 정의'!$O$7)^2+(U145-'포지션 정의'!$P$7)^2)/3)/'판정 기준'!$B$7),0)</f>
        <v>59</v>
      </c>
      <c r="AH145" s="24" t="n">
        <f aca="false">ROUND(100*(1-SQRT(((S145-'포지션 정의'!$N$8)^2+(T145-'포지션 정의'!$O$8)^2+(U145-'포지션 정의'!$P$8)^2)/3)/'판정 기준'!$B$7),0)</f>
        <v>75</v>
      </c>
      <c r="AI145" s="24" t="n">
        <f aca="false">ROUND(100*(1-SQRT(((S145-'포지션 정의'!$N$9)^2+(T145-'포지션 정의'!$O$9)^2+(U145-'포지션 정의'!$P$9)^2)/3)/'판정 기준'!$B$7),0)</f>
        <v>57</v>
      </c>
      <c r="AJ145" s="23" t="str">
        <f aca="false">IF(G145&gt;='판정 기준'!$B$8,"경기긴장도, ","")&amp;IF(Q145&gt;='판정 기준'!$B$8,"사회적 도움 활용, ","")&amp;IF(K145&gt;='판정 기준'!$B$8,"경기 준비 능력, ","")&amp;IF(N145&gt;='판정 기준'!$B$8,"실수 후 회복력, ","")&amp;IF(P145&gt;='판정 기준'!$B$8,"자기 통제력, ","")</f>
        <v>자기 통제력, </v>
      </c>
      <c r="AK145" s="23" t="n">
        <f aca="false">IF(AND(G145&lt;'판정 기준'!$B$8,OR(AJ145&lt;&gt;"",AP145&lt;&gt;"경기긴장도")),G145,0)</f>
        <v>4.3</v>
      </c>
      <c r="AL145" s="23" t="n">
        <f aca="false">IF(AND(Q145&lt;'판정 기준'!$B$8,OR(AJ145&lt;&gt;"",AP145&lt;&gt;"사회적 도움 활용")),Q145,0)</f>
        <v>4.4</v>
      </c>
      <c r="AM145" s="23" t="n">
        <f aca="false">IF(AND(K145&lt;'판정 기준'!$B$8,OR(AJ145&lt;&gt;"",AP145&lt;&gt;"경기 준비 능력")),K145,0)</f>
        <v>4.2</v>
      </c>
      <c r="AN145" s="23" t="n">
        <f aca="false">IF(AND(N145&lt;'판정 기준'!$B$8,OR(AJ145&lt;&gt;"",AP145&lt;&gt;"실수 후 회복력")),N145,0)</f>
        <v>1.7</v>
      </c>
      <c r="AO145" s="23" t="n">
        <f aca="false">IF(AND(P145&lt;'판정 기준'!$B$8,OR(AJ145&lt;&gt;"",AP145&lt;&gt;"자기 통제력")),P145,0)</f>
        <v>0</v>
      </c>
      <c r="AP145" s="23" t="str">
        <f aca="false">IF(Q145=MAX(G145,Q145,K145,N145,P145),"사회적 도움 활용",IF(P145=MAX(G145,Q145,K145,N145,P145),"자기 통제력",IF(G145=MAX(G145,Q145,K145,N145,P145),"경기긴장도",IF(K145=MAX(G145,Q145,K145,N145,P145),"경기 준비 능력","실수 후 회복력"))))</f>
        <v>자기 통제력</v>
      </c>
    </row>
    <row r="146" customFormat="false" ht="17.15" hidden="false" customHeight="false" outlineLevel="0" collapsed="false">
      <c r="A146" s="13" t="s">
        <v>364</v>
      </c>
      <c r="B146" s="13" t="s">
        <v>187</v>
      </c>
      <c r="C146" s="13" t="s">
        <v>355</v>
      </c>
      <c r="D146" s="14" t="n">
        <v>46149</v>
      </c>
      <c r="E146" s="41" t="s">
        <v>195</v>
      </c>
      <c r="F146" s="42" t="n">
        <v>3.6</v>
      </c>
      <c r="G146" s="42" t="n">
        <v>3.3</v>
      </c>
      <c r="H146" s="42" t="n">
        <v>3.7</v>
      </c>
      <c r="I146" s="42" t="n">
        <v>2.8</v>
      </c>
      <c r="J146" s="42" t="n">
        <v>3</v>
      </c>
      <c r="K146" s="42" t="n">
        <v>4.2</v>
      </c>
      <c r="L146" s="42" t="n">
        <v>3.5</v>
      </c>
      <c r="M146" s="42" t="n">
        <v>4.9</v>
      </c>
      <c r="N146" s="42" t="n">
        <v>3.4</v>
      </c>
      <c r="O146" s="42" t="n">
        <v>4</v>
      </c>
      <c r="P146" s="42" t="n">
        <v>3.3</v>
      </c>
      <c r="Q146" s="42" t="n">
        <v>3.8</v>
      </c>
      <c r="R146" s="42" t="n">
        <v>5.3</v>
      </c>
      <c r="S146" s="37" t="n">
        <f aca="false">AVERAGE(G146:J146)</f>
        <v>3.2</v>
      </c>
      <c r="T146" s="37" t="n">
        <f aca="false">AVERAGE(K146:M146)</f>
        <v>4.2</v>
      </c>
      <c r="U146" s="37" t="n">
        <f aca="false">AVERAGE(N146:O146)</f>
        <v>3.7</v>
      </c>
      <c r="V146" s="23" t="str">
        <f aca="false">IF(S146&gt;='판정 기준'!$B$3,"H","L")&amp;IF(T146&gt;='판정 기준'!$B$3,"H","L")&amp;IF(U146&gt;='판정 기준'!$B$3,"H","L")</f>
        <v>LLL</v>
      </c>
      <c r="W146" s="36" t="str">
        <f aca="false">INDEX('포지션 정의'!$A$2:$A$9,MATCH(V146,'포지션 정의'!$D$2:$D$9,0))</f>
        <v>G</v>
      </c>
      <c r="X146" s="36" t="str">
        <f aca="false">INDEX('포지션 정의'!$B$2:$B$9,MATCH(V146,'포지션 정의'!$D$2:$D$9,0))</f>
        <v>스펀지 흡수형</v>
      </c>
      <c r="Y146" s="43" t="str">
        <f aca="false">IF(AJ146="","가장 높은 지표: "&amp;AP146,LEFT(AJ146,LEN(AJ146)-2))</f>
        <v>가장 높은 지표: 경기 준비 능력</v>
      </c>
      <c r="Z146" s="43" t="str">
        <f aca="false">IF(MAX(AK146:AO146)=0,"심화: "&amp;IF(N146=MIN(G146,Q146,K146,N146,P146),"실수 후 회복력",IF(K146=MIN(G146,Q146,K146,N146,P146),"경기 준비 능력",IF(G146=MIN(G146,Q146,K146,N146,P146),"경기긴장도",IF(P146=MIN(G146,Q146,K146,N146,P146),"자기 통제력","사회적 도움 활용")))),IF(MAX(AK146:AO146)&gt;='판정 기준'!$B$8-'판정 기준'!$B$4,IF(AN146=MAX(AK146:AO146),"실수 후 회복력",IF(AM146=MAX(AK146:AO146),"경기 준비 능력",IF(AK146=MAX(AK146:AO146),"경기긴장도",IF(AO146=MAX(AK146:AO146),"자기 통제력","사회적 도움 활용")))),IF(AN146&gt;0,"실수 후 회복력",IF(AM146&gt;0,"경기 준비 능력",IF(AK146&gt;0,"경기긴장도",IF(AO146&gt;0,"자기 통제력","사회적 도움 활용"))))))</f>
        <v>실수 후 회복력</v>
      </c>
      <c r="AA146" s="43" t="str">
        <f aca="false">INDEX('포지션 정의'!$L$2:$L$9,MATCH(V146,'포지션 정의'!$D$2:$D$9,0))</f>
        <v>디디에 드로그바 · 앙투안 그리즈만 · 모하메드 살라</v>
      </c>
      <c r="AB146" s="24" t="n">
        <f aca="false">ROUND(100*(1-SQRT(((S146-'포지션 정의'!$N$2)^2+(T146-'포지션 정의'!$O$2)^2+(U146-'포지션 정의'!$P$2)^2)/3)/'판정 기준'!$B$7),0)</f>
        <v>86</v>
      </c>
      <c r="AC146" s="24" t="n">
        <f aca="false">ROUND(100*(1-SQRT(((S146-'포지션 정의'!$N$3)^2+(T146-'포지션 정의'!$O$3)^2+(U146-'포지션 정의'!$P$3)^2)/3)/'판정 기준'!$B$7),0)</f>
        <v>74</v>
      </c>
      <c r="AD146" s="24" t="n">
        <f aca="false">ROUND(100*(1-SQRT(((S146-'포지션 정의'!$N$4)^2+(T146-'포지션 정의'!$O$4)^2+(U146-'포지션 정의'!$P$4)^2)/3)/'판정 기준'!$B$7),0)</f>
        <v>76</v>
      </c>
      <c r="AE146" s="24" t="n">
        <f aca="false">ROUND(100*(1-SQRT(((S146-'포지션 정의'!$N$5)^2+(T146-'포지션 정의'!$O$5)^2+(U146-'포지션 정의'!$P$5)^2)/3)/'판정 기준'!$B$7),0)</f>
        <v>71</v>
      </c>
      <c r="AF146" s="24" t="n">
        <f aca="false">ROUND(100*(1-SQRT(((S146-'포지션 정의'!$N$6)^2+(T146-'포지션 정의'!$O$6)^2+(U146-'포지션 정의'!$P$6)^2)/3)/'판정 기준'!$B$7),0)</f>
        <v>81</v>
      </c>
      <c r="AG146" s="24" t="n">
        <f aca="false">ROUND(100*(1-SQRT(((S146-'포지션 정의'!$N$7)^2+(T146-'포지션 정의'!$O$7)^2+(U146-'포지션 정의'!$P$7)^2)/3)/'판정 기준'!$B$7),0)</f>
        <v>78</v>
      </c>
      <c r="AH146" s="24" t="n">
        <f aca="false">ROUND(100*(1-SQRT(((S146-'포지션 정의'!$N$8)^2+(T146-'포지션 정의'!$O$8)^2+(U146-'포지션 정의'!$P$8)^2)/3)/'판정 기준'!$B$7),0)</f>
        <v>92</v>
      </c>
      <c r="AI146" s="24" t="n">
        <f aca="false">ROUND(100*(1-SQRT(((S146-'포지션 정의'!$N$9)^2+(T146-'포지션 정의'!$O$9)^2+(U146-'포지션 정의'!$P$9)^2)/3)/'판정 기준'!$B$7),0)</f>
        <v>69</v>
      </c>
      <c r="AJ146" s="23" t="str">
        <f aca="false">IF(G146&gt;='판정 기준'!$B$8,"경기긴장도, ","")&amp;IF(Q146&gt;='판정 기준'!$B$8,"사회적 도움 활용, ","")&amp;IF(K146&gt;='판정 기준'!$B$8,"경기 준비 능력, ","")&amp;IF(N146&gt;='판정 기준'!$B$8,"실수 후 회복력, ","")&amp;IF(P146&gt;='판정 기준'!$B$8,"자기 통제력, ","")</f>
        <v/>
      </c>
      <c r="AK146" s="23" t="n">
        <f aca="false">IF(AND(G146&lt;'판정 기준'!$B$8,OR(AJ146&lt;&gt;"",AP146&lt;&gt;"경기긴장도")),G146,0)</f>
        <v>3.3</v>
      </c>
      <c r="AL146" s="23" t="n">
        <f aca="false">IF(AND(Q146&lt;'판정 기준'!$B$8,OR(AJ146&lt;&gt;"",AP146&lt;&gt;"사회적 도움 활용")),Q146,0)</f>
        <v>3.8</v>
      </c>
      <c r="AM146" s="23" t="n">
        <f aca="false">IF(AND(K146&lt;'판정 기준'!$B$8,OR(AJ146&lt;&gt;"",AP146&lt;&gt;"경기 준비 능력")),K146,0)</f>
        <v>0</v>
      </c>
      <c r="AN146" s="23" t="n">
        <f aca="false">IF(AND(N146&lt;'판정 기준'!$B$8,OR(AJ146&lt;&gt;"",AP146&lt;&gt;"실수 후 회복력")),N146,0)</f>
        <v>3.4</v>
      </c>
      <c r="AO146" s="23" t="n">
        <f aca="false">IF(AND(P146&lt;'판정 기준'!$B$8,OR(AJ146&lt;&gt;"",AP146&lt;&gt;"자기 통제력")),P146,0)</f>
        <v>3.3</v>
      </c>
      <c r="AP146" s="23" t="str">
        <f aca="false">IF(Q146=MAX(G146,Q146,K146,N146,P146),"사회적 도움 활용",IF(P146=MAX(G146,Q146,K146,N146,P146),"자기 통제력",IF(G146=MAX(G146,Q146,K146,N146,P146),"경기긴장도",IF(K146=MAX(G146,Q146,K146,N146,P146),"경기 준비 능력","실수 후 회복력"))))</f>
        <v>경기 준비 능력</v>
      </c>
    </row>
    <row r="147" customFormat="false" ht="17.15" hidden="false" customHeight="false" outlineLevel="0" collapsed="false">
      <c r="A147" s="13" t="s">
        <v>365</v>
      </c>
      <c r="B147" s="13" t="s">
        <v>187</v>
      </c>
      <c r="C147" s="13" t="s">
        <v>355</v>
      </c>
      <c r="D147" s="14" t="n">
        <v>46148</v>
      </c>
      <c r="E147" s="41" t="s">
        <v>198</v>
      </c>
      <c r="F147" s="42" t="n">
        <v>4.6</v>
      </c>
      <c r="G147" s="42" t="n">
        <v>4.4</v>
      </c>
      <c r="H147" s="42" t="n">
        <v>3.7</v>
      </c>
      <c r="I147" s="42" t="n">
        <v>5.2</v>
      </c>
      <c r="J147" s="42" t="n">
        <v>4.2</v>
      </c>
      <c r="K147" s="42" t="n">
        <v>4.8</v>
      </c>
      <c r="L147" s="42" t="n">
        <v>4.7</v>
      </c>
      <c r="M147" s="42" t="n">
        <v>4.9</v>
      </c>
      <c r="N147" s="42" t="n">
        <v>5.3</v>
      </c>
      <c r="O147" s="42" t="n">
        <v>5.3</v>
      </c>
      <c r="P147" s="42" t="n">
        <v>3.8</v>
      </c>
      <c r="Q147" s="42" t="n">
        <v>5.2</v>
      </c>
      <c r="R147" s="42" t="n">
        <v>6</v>
      </c>
      <c r="S147" s="37" t="n">
        <f aca="false">AVERAGE(G147:J147)</f>
        <v>4.375</v>
      </c>
      <c r="T147" s="37" t="n">
        <f aca="false">AVERAGE(K147:M147)</f>
        <v>4.8</v>
      </c>
      <c r="U147" s="37" t="n">
        <f aca="false">AVERAGE(N147:O147)</f>
        <v>5.3</v>
      </c>
      <c r="V147" s="23" t="str">
        <f aca="false">IF(S147&gt;='판정 기준'!$B$3,"H","L")&amp;IF(T147&gt;='판정 기준'!$B$3,"H","L")&amp;IF(U147&gt;='판정 기준'!$B$3,"H","L")</f>
        <v>LHH</v>
      </c>
      <c r="W147" s="36" t="str">
        <f aca="false">INDEX('포지션 정의'!$A$2:$A$9,MATCH(V147,'포지션 정의'!$D$2:$D$9,0))</f>
        <v>F</v>
      </c>
      <c r="X147" s="36" t="str">
        <f aca="false">INDEX('포지션 정의'!$B$2:$B$9,MATCH(V147,'포지션 정의'!$D$2:$D$9,0))</f>
        <v>성실한 도전자형</v>
      </c>
      <c r="Y147" s="43" t="str">
        <f aca="false">IF(AJ147="","가장 높은 지표: "&amp;AP147,LEFT(AJ147,LEN(AJ147)-2))</f>
        <v>사회적 도움 활용, 경기 준비 능력, 실수 후 회복력</v>
      </c>
      <c r="Z147" s="43" t="str">
        <f aca="false">IF(MAX(AK147:AO147)=0,"심화: "&amp;IF(N147=MIN(G147,Q147,K147,N147,P147),"실수 후 회복력",IF(K147=MIN(G147,Q147,K147,N147,P147),"경기 준비 능력",IF(G147=MIN(G147,Q147,K147,N147,P147),"경기긴장도",IF(P147=MIN(G147,Q147,K147,N147,P147),"자기 통제력","사회적 도움 활용")))),IF(MAX(AK147:AO147)&gt;='판정 기준'!$B$8-'판정 기준'!$B$4,IF(AN147=MAX(AK147:AO147),"실수 후 회복력",IF(AM147=MAX(AK147:AO147),"경기 준비 능력",IF(AK147=MAX(AK147:AO147),"경기긴장도",IF(AO147=MAX(AK147:AO147),"자기 통제력","사회적 도움 활용")))),IF(AN147&gt;0,"실수 후 회복력",IF(AM147&gt;0,"경기 준비 능력",IF(AK147&gt;0,"경기긴장도",IF(AO147&gt;0,"자기 통제력","사회적 도움 활용"))))))</f>
        <v>경기긴장도</v>
      </c>
      <c r="AA147" s="43" t="str">
        <f aca="false">INDEX('포지션 정의'!$L$2:$L$9,MATCH(V147,'포지션 정의'!$D$2:$D$9,0))</f>
        <v>제이미 바디 · 은골로 캉테 · 박지성</v>
      </c>
      <c r="AB147" s="24" t="n">
        <f aca="false">ROUND(100*(1-SQRT(((S147-'포지션 정의'!$N$2)^2+(T147-'포지션 정의'!$O$2)^2+(U147-'포지션 정의'!$P$2)^2)/3)/'판정 기준'!$B$7),0)</f>
        <v>81</v>
      </c>
      <c r="AC147" s="24" t="n">
        <f aca="false">ROUND(100*(1-SQRT(((S147-'포지션 정의'!$N$3)^2+(T147-'포지션 정의'!$O$3)^2+(U147-'포지션 정의'!$P$3)^2)/3)/'판정 기준'!$B$7),0)</f>
        <v>80</v>
      </c>
      <c r="AD147" s="24" t="n">
        <f aca="false">ROUND(100*(1-SQRT(((S147-'포지션 정의'!$N$4)^2+(T147-'포지션 정의'!$O$4)^2+(U147-'포지션 정의'!$P$4)^2)/3)/'판정 기준'!$B$7),0)</f>
        <v>77</v>
      </c>
      <c r="AE147" s="24" t="n">
        <f aca="false">ROUND(100*(1-SQRT(((S147-'포지션 정의'!$N$5)^2+(T147-'포지션 정의'!$O$5)^2+(U147-'포지션 정의'!$P$5)^2)/3)/'판정 기준'!$B$7),0)</f>
        <v>85</v>
      </c>
      <c r="AF147" s="24" t="n">
        <f aca="false">ROUND(100*(1-SQRT(((S147-'포지션 정의'!$N$6)^2+(T147-'포지션 정의'!$O$6)^2+(U147-'포지션 정의'!$P$6)^2)/3)/'판정 기준'!$B$7),0)</f>
        <v>87</v>
      </c>
      <c r="AG147" s="24" t="n">
        <f aca="false">ROUND(100*(1-SQRT(((S147-'포지션 정의'!$N$7)^2+(T147-'포지션 정의'!$O$7)^2+(U147-'포지션 정의'!$P$7)^2)/3)/'판정 기준'!$B$7),0)</f>
        <v>92</v>
      </c>
      <c r="AH147" s="24" t="n">
        <f aca="false">ROUND(100*(1-SQRT(((S147-'포지션 정의'!$N$8)^2+(T147-'포지션 정의'!$O$8)^2+(U147-'포지션 정의'!$P$8)^2)/3)/'판정 기준'!$B$7),0)</f>
        <v>78</v>
      </c>
      <c r="AI147" s="24" t="n">
        <f aca="false">ROUND(100*(1-SQRT(((S147-'포지션 정의'!$N$9)^2+(T147-'포지션 정의'!$O$9)^2+(U147-'포지션 정의'!$P$9)^2)/3)/'판정 기준'!$B$7),0)</f>
        <v>89</v>
      </c>
      <c r="AJ147" s="23" t="str">
        <f aca="false">IF(G147&gt;='판정 기준'!$B$8,"경기긴장도, ","")&amp;IF(Q147&gt;='판정 기준'!$B$8,"사회적 도움 활용, ","")&amp;IF(K147&gt;='판정 기준'!$B$8,"경기 준비 능력, ","")&amp;IF(N147&gt;='판정 기준'!$B$8,"실수 후 회복력, ","")&amp;IF(P147&gt;='판정 기준'!$B$8,"자기 통제력, ","")</f>
        <v>사회적 도움 활용, 경기 준비 능력, 실수 후 회복력, </v>
      </c>
      <c r="AK147" s="23" t="n">
        <f aca="false">IF(AND(G147&lt;'판정 기준'!$B$8,OR(AJ147&lt;&gt;"",AP147&lt;&gt;"경기긴장도")),G147,0)</f>
        <v>4.4</v>
      </c>
      <c r="AL147" s="23" t="n">
        <f aca="false">IF(AND(Q147&lt;'판정 기준'!$B$8,OR(AJ147&lt;&gt;"",AP147&lt;&gt;"사회적 도움 활용")),Q147,0)</f>
        <v>0</v>
      </c>
      <c r="AM147" s="23" t="n">
        <f aca="false">IF(AND(K147&lt;'판정 기준'!$B$8,OR(AJ147&lt;&gt;"",AP147&lt;&gt;"경기 준비 능력")),K147,0)</f>
        <v>0</v>
      </c>
      <c r="AN147" s="23" t="n">
        <f aca="false">IF(AND(N147&lt;'판정 기준'!$B$8,OR(AJ147&lt;&gt;"",AP147&lt;&gt;"실수 후 회복력")),N147,0)</f>
        <v>0</v>
      </c>
      <c r="AO147" s="23" t="n">
        <f aca="false">IF(AND(P147&lt;'판정 기준'!$B$8,OR(AJ147&lt;&gt;"",AP147&lt;&gt;"자기 통제력")),P147,0)</f>
        <v>3.8</v>
      </c>
      <c r="AP147" s="23" t="str">
        <f aca="false">IF(Q147=MAX(G147,Q147,K147,N147,P147),"사회적 도움 활용",IF(P147=MAX(G147,Q147,K147,N147,P147),"자기 통제력",IF(G147=MAX(G147,Q147,K147,N147,P147),"경기긴장도",IF(K147=MAX(G147,Q147,K147,N147,P147),"경기 준비 능력","실수 후 회복력"))))</f>
        <v>실수 후 회복력</v>
      </c>
    </row>
    <row r="148" customFormat="false" ht="17.15" hidden="false" customHeight="false" outlineLevel="0" collapsed="false">
      <c r="A148" s="13" t="s">
        <v>366</v>
      </c>
      <c r="B148" s="13" t="s">
        <v>187</v>
      </c>
      <c r="C148" s="13" t="s">
        <v>367</v>
      </c>
      <c r="D148" s="14" t="n">
        <v>46148</v>
      </c>
      <c r="E148" s="41" t="s">
        <v>198</v>
      </c>
      <c r="F148" s="42" t="n">
        <v>4.7</v>
      </c>
      <c r="G148" s="42" t="n">
        <v>4.2</v>
      </c>
      <c r="H148" s="42" t="n">
        <v>3.8</v>
      </c>
      <c r="I148" s="42" t="n">
        <v>5.4</v>
      </c>
      <c r="J148" s="42" t="n">
        <v>2.5</v>
      </c>
      <c r="K148" s="42" t="n">
        <v>5.2</v>
      </c>
      <c r="L148" s="42" t="n">
        <v>4.7</v>
      </c>
      <c r="M148" s="42" t="n">
        <v>5.6</v>
      </c>
      <c r="N148" s="42" t="n">
        <v>5.3</v>
      </c>
      <c r="O148" s="42" t="n">
        <v>5.2</v>
      </c>
      <c r="P148" s="42" t="n">
        <v>3.7</v>
      </c>
      <c r="Q148" s="42" t="n">
        <v>6</v>
      </c>
      <c r="R148" s="42" t="n">
        <v>6</v>
      </c>
      <c r="S148" s="37" t="n">
        <f aca="false">AVERAGE(G148:J148)</f>
        <v>3.975</v>
      </c>
      <c r="T148" s="37" t="n">
        <f aca="false">AVERAGE(K148:M148)</f>
        <v>5.16666666666667</v>
      </c>
      <c r="U148" s="37" t="n">
        <f aca="false">AVERAGE(N148:O148)</f>
        <v>5.25</v>
      </c>
      <c r="V148" s="23" t="str">
        <f aca="false">IF(S148&gt;='판정 기준'!$B$3,"H","L")&amp;IF(T148&gt;='판정 기준'!$B$3,"H","L")&amp;IF(U148&gt;='판정 기준'!$B$3,"H","L")</f>
        <v>LHH</v>
      </c>
      <c r="W148" s="36" t="str">
        <f aca="false">INDEX('포지션 정의'!$A$2:$A$9,MATCH(V148,'포지션 정의'!$D$2:$D$9,0))</f>
        <v>F</v>
      </c>
      <c r="X148" s="36" t="str">
        <f aca="false">INDEX('포지션 정의'!$B$2:$B$9,MATCH(V148,'포지션 정의'!$D$2:$D$9,0))</f>
        <v>성실한 도전자형</v>
      </c>
      <c r="Y148" s="43" t="str">
        <f aca="false">IF(AJ148="","가장 높은 지표: "&amp;AP148,LEFT(AJ148,LEN(AJ148)-2))</f>
        <v>사회적 도움 활용, 경기 준비 능력, 실수 후 회복력</v>
      </c>
      <c r="Z148" s="43" t="str">
        <f aca="false">IF(MAX(AK148:AO148)=0,"심화: "&amp;IF(N148=MIN(G148,Q148,K148,N148,P148),"실수 후 회복력",IF(K148=MIN(G148,Q148,K148,N148,P148),"경기 준비 능력",IF(G148=MIN(G148,Q148,K148,N148,P148),"경기긴장도",IF(P148=MIN(G148,Q148,K148,N148,P148),"자기 통제력","사회적 도움 활용")))),IF(MAX(AK148:AO148)&gt;='판정 기준'!$B$8-'판정 기준'!$B$4,IF(AN148=MAX(AK148:AO148),"실수 후 회복력",IF(AM148=MAX(AK148:AO148),"경기 준비 능력",IF(AK148=MAX(AK148:AO148),"경기긴장도",IF(AO148=MAX(AK148:AO148),"자기 통제력","사회적 도움 활용")))),IF(AN148&gt;0,"실수 후 회복력",IF(AM148&gt;0,"경기 준비 능력",IF(AK148&gt;0,"경기긴장도",IF(AO148&gt;0,"자기 통제력","사회적 도움 활용"))))))</f>
        <v>경기긴장도</v>
      </c>
      <c r="AA148" s="43" t="str">
        <f aca="false">INDEX('포지션 정의'!$L$2:$L$9,MATCH(V148,'포지션 정의'!$D$2:$D$9,0))</f>
        <v>제이미 바디 · 은골로 캉테 · 박지성</v>
      </c>
      <c r="AB148" s="24" t="n">
        <f aca="false">ROUND(100*(1-SQRT(((S148-'포지션 정의'!$N$2)^2+(T148-'포지션 정의'!$O$2)^2+(U148-'포지션 정의'!$P$2)^2)/3)/'판정 기준'!$B$7),0)</f>
        <v>83</v>
      </c>
      <c r="AC148" s="24" t="n">
        <f aca="false">ROUND(100*(1-SQRT(((S148-'포지션 정의'!$N$3)^2+(T148-'포지션 정의'!$O$3)^2+(U148-'포지션 정의'!$P$3)^2)/3)/'판정 기준'!$B$7),0)</f>
        <v>78</v>
      </c>
      <c r="AD148" s="24" t="n">
        <f aca="false">ROUND(100*(1-SQRT(((S148-'포지션 정의'!$N$4)^2+(T148-'포지션 정의'!$O$4)^2+(U148-'포지션 정의'!$P$4)^2)/3)/'판정 기준'!$B$7),0)</f>
        <v>73</v>
      </c>
      <c r="AE148" s="24" t="n">
        <f aca="false">ROUND(100*(1-SQRT(((S148-'포지션 정의'!$N$5)^2+(T148-'포지션 정의'!$O$5)^2+(U148-'포지션 정의'!$P$5)^2)/3)/'판정 기준'!$B$7),0)</f>
        <v>79</v>
      </c>
      <c r="AF148" s="24" t="n">
        <f aca="false">ROUND(100*(1-SQRT(((S148-'포지션 정의'!$N$6)^2+(T148-'포지션 정의'!$O$6)^2+(U148-'포지션 정의'!$P$6)^2)/3)/'판정 기준'!$B$7),0)</f>
        <v>84</v>
      </c>
      <c r="AG148" s="24" t="n">
        <f aca="false">ROUND(100*(1-SQRT(((S148-'포지션 정의'!$N$7)^2+(T148-'포지션 정의'!$O$7)^2+(U148-'포지션 정의'!$P$7)^2)/3)/'판정 기준'!$B$7),0)</f>
        <v>98</v>
      </c>
      <c r="AH148" s="24" t="n">
        <f aca="false">ROUND(100*(1-SQRT(((S148-'포지션 정의'!$N$8)^2+(T148-'포지션 정의'!$O$8)^2+(U148-'포지션 정의'!$P$8)^2)/3)/'판정 기준'!$B$7),0)</f>
        <v>77</v>
      </c>
      <c r="AI148" s="24" t="n">
        <f aca="false">ROUND(100*(1-SQRT(((S148-'포지션 정의'!$N$9)^2+(T148-'포지션 정의'!$O$9)^2+(U148-'포지션 정의'!$P$9)^2)/3)/'판정 기준'!$B$7),0)</f>
        <v>86</v>
      </c>
      <c r="AJ148" s="23" t="str">
        <f aca="false">IF(G148&gt;='판정 기준'!$B$8,"경기긴장도, ","")&amp;IF(Q148&gt;='판정 기준'!$B$8,"사회적 도움 활용, ","")&amp;IF(K148&gt;='판정 기준'!$B$8,"경기 준비 능력, ","")&amp;IF(N148&gt;='판정 기준'!$B$8,"실수 후 회복력, ","")&amp;IF(P148&gt;='판정 기준'!$B$8,"자기 통제력, ","")</f>
        <v>사회적 도움 활용, 경기 준비 능력, 실수 후 회복력, </v>
      </c>
      <c r="AK148" s="23" t="n">
        <f aca="false">IF(AND(G148&lt;'판정 기준'!$B$8,OR(AJ148&lt;&gt;"",AP148&lt;&gt;"경기긴장도")),G148,0)</f>
        <v>4.2</v>
      </c>
      <c r="AL148" s="23" t="n">
        <f aca="false">IF(AND(Q148&lt;'판정 기준'!$B$8,OR(AJ148&lt;&gt;"",AP148&lt;&gt;"사회적 도움 활용")),Q148,0)</f>
        <v>0</v>
      </c>
      <c r="AM148" s="23" t="n">
        <f aca="false">IF(AND(K148&lt;'판정 기준'!$B$8,OR(AJ148&lt;&gt;"",AP148&lt;&gt;"경기 준비 능력")),K148,0)</f>
        <v>0</v>
      </c>
      <c r="AN148" s="23" t="n">
        <f aca="false">IF(AND(N148&lt;'판정 기준'!$B$8,OR(AJ148&lt;&gt;"",AP148&lt;&gt;"실수 후 회복력")),N148,0)</f>
        <v>0</v>
      </c>
      <c r="AO148" s="23" t="n">
        <f aca="false">IF(AND(P148&lt;'판정 기준'!$B$8,OR(AJ148&lt;&gt;"",AP148&lt;&gt;"자기 통제력")),P148,0)</f>
        <v>3.7</v>
      </c>
      <c r="AP148" s="23" t="str">
        <f aca="false">IF(Q148=MAX(G148,Q148,K148,N148,P148),"사회적 도움 활용",IF(P148=MAX(G148,Q148,K148,N148,P148),"자기 통제력",IF(G148=MAX(G148,Q148,K148,N148,P148),"경기긴장도",IF(K148=MAX(G148,Q148,K148,N148,P148),"경기 준비 능력","실수 후 회복력"))))</f>
        <v>사회적 도움 활용</v>
      </c>
    </row>
    <row r="149" customFormat="false" ht="17.15" hidden="false" customHeight="false" outlineLevel="0" collapsed="false">
      <c r="A149" s="13" t="s">
        <v>368</v>
      </c>
      <c r="B149" s="13" t="s">
        <v>187</v>
      </c>
      <c r="C149" s="13" t="s">
        <v>367</v>
      </c>
      <c r="D149" s="14" t="n">
        <v>46148</v>
      </c>
      <c r="E149" s="41" t="s">
        <v>198</v>
      </c>
      <c r="F149" s="42" t="n">
        <v>5.5</v>
      </c>
      <c r="G149" s="42" t="n">
        <v>5.4</v>
      </c>
      <c r="H149" s="42" t="n">
        <v>5.8</v>
      </c>
      <c r="I149" s="42" t="n">
        <v>5.4</v>
      </c>
      <c r="J149" s="42" t="n">
        <v>5.7</v>
      </c>
      <c r="K149" s="42" t="n">
        <v>5.2</v>
      </c>
      <c r="L149" s="42" t="n">
        <v>5.3</v>
      </c>
      <c r="M149" s="42" t="n">
        <v>5.1</v>
      </c>
      <c r="N149" s="42" t="n">
        <v>5.7</v>
      </c>
      <c r="O149" s="42" t="n">
        <v>5.5</v>
      </c>
      <c r="P149" s="42" t="n">
        <v>5.7</v>
      </c>
      <c r="Q149" s="42" t="n">
        <v>4.2</v>
      </c>
      <c r="R149" s="42" t="n">
        <v>6</v>
      </c>
      <c r="S149" s="37" t="n">
        <f aca="false">AVERAGE(G149:J149)</f>
        <v>5.575</v>
      </c>
      <c r="T149" s="37" t="n">
        <f aca="false">AVERAGE(K149:M149)</f>
        <v>5.2</v>
      </c>
      <c r="U149" s="37" t="n">
        <f aca="false">AVERAGE(N149:O149)</f>
        <v>5.6</v>
      </c>
      <c r="V149" s="23" t="str">
        <f aca="false">IF(S149&gt;='판정 기준'!$B$3,"H","L")&amp;IF(T149&gt;='판정 기준'!$B$3,"H","L")&amp;IF(U149&gt;='판정 기준'!$B$3,"H","L")</f>
        <v>HHH</v>
      </c>
      <c r="W149" s="36" t="str">
        <f aca="false">INDEX('포지션 정의'!$A$2:$A$9,MATCH(V149,'포지션 정의'!$D$2:$D$9,0))</f>
        <v>H</v>
      </c>
      <c r="X149" s="36" t="str">
        <f aca="false">INDEX('포지션 정의'!$B$2:$B$9,MATCH(V149,'포지션 정의'!$D$2:$D$9,0))</f>
        <v>올라운드 밸런스형</v>
      </c>
      <c r="Y149" s="43" t="str">
        <f aca="false">IF(AJ149="","가장 높은 지표: "&amp;AP149,LEFT(AJ149,LEN(AJ149)-2))</f>
        <v>경기긴장도, 경기 준비 능력, 실수 후 회복력, 자기 통제력</v>
      </c>
      <c r="Z149" s="43" t="str">
        <f aca="false">IF(MAX(AK149:AO149)=0,"심화: "&amp;IF(N149=MIN(G149,Q149,K149,N149,P149),"실수 후 회복력",IF(K149=MIN(G149,Q149,K149,N149,P149),"경기 준비 능력",IF(G149=MIN(G149,Q149,K149,N149,P149),"경기긴장도",IF(P149=MIN(G149,Q149,K149,N149,P149),"자기 통제력","사회적 도움 활용")))),IF(MAX(AK149:AO149)&gt;='판정 기준'!$B$8-'판정 기준'!$B$4,IF(AN149=MAX(AK149:AO149),"실수 후 회복력",IF(AM149=MAX(AK149:AO149),"경기 준비 능력",IF(AK149=MAX(AK149:AO149),"경기긴장도",IF(AO149=MAX(AK149:AO149),"자기 통제력","사회적 도움 활용")))),IF(AN149&gt;0,"실수 후 회복력",IF(AM149&gt;0,"경기 준비 능력",IF(AK149&gt;0,"경기긴장도",IF(AO149&gt;0,"자기 통제력","사회적 도움 활용"))))))</f>
        <v>사회적 도움 활용</v>
      </c>
      <c r="AA149" s="43" t="str">
        <f aca="false">INDEX('포지션 정의'!$L$2:$L$9,MATCH(V149,'포지션 정의'!$D$2:$D$9,0))</f>
        <v>크리스티아누 호날두 · 루카 모드리치 · 버질 반 다이크</v>
      </c>
      <c r="AB149" s="24" t="n">
        <f aca="false">ROUND(100*(1-SQRT(((S149-'포지션 정의'!$N$2)^2+(T149-'포지션 정의'!$O$2)^2+(U149-'포지션 정의'!$P$2)^2)/3)/'판정 기준'!$B$7),0)</f>
        <v>71</v>
      </c>
      <c r="AC149" s="24" t="n">
        <f aca="false">ROUND(100*(1-SQRT(((S149-'포지션 정의'!$N$3)^2+(T149-'포지션 정의'!$O$3)^2+(U149-'포지션 정의'!$P$3)^2)/3)/'판정 기준'!$B$7),0)</f>
        <v>79</v>
      </c>
      <c r="AD149" s="24" t="n">
        <f aca="false">ROUND(100*(1-SQRT(((S149-'포지션 정의'!$N$4)^2+(T149-'포지션 정의'!$O$4)^2+(U149-'포지션 정의'!$P$4)^2)/3)/'판정 기준'!$B$7),0)</f>
        <v>73</v>
      </c>
      <c r="AE149" s="24" t="n">
        <f aca="false">ROUND(100*(1-SQRT(((S149-'포지션 정의'!$N$5)^2+(T149-'포지션 정의'!$O$5)^2+(U149-'포지션 정의'!$P$5)^2)/3)/'판정 기준'!$B$7),0)</f>
        <v>83</v>
      </c>
      <c r="AF149" s="24" t="n">
        <f aca="false">ROUND(100*(1-SQRT(((S149-'포지션 정의'!$N$6)^2+(T149-'포지션 정의'!$O$6)^2+(U149-'포지션 정의'!$P$6)^2)/3)/'판정 기준'!$B$7),0)</f>
        <v>73</v>
      </c>
      <c r="AG149" s="24" t="n">
        <f aca="false">ROUND(100*(1-SQRT(((S149-'포지션 정의'!$N$7)^2+(T149-'포지션 정의'!$O$7)^2+(U149-'포지션 정의'!$P$7)^2)/3)/'판정 기준'!$B$7),0)</f>
        <v>79</v>
      </c>
      <c r="AH149" s="24" t="n">
        <f aca="false">ROUND(100*(1-SQRT(((S149-'포지션 정의'!$N$8)^2+(T149-'포지션 정의'!$O$8)^2+(U149-'포지션 정의'!$P$8)^2)/3)/'판정 기준'!$B$7),0)</f>
        <v>67</v>
      </c>
      <c r="AI149" s="24" t="n">
        <f aca="false">ROUND(100*(1-SQRT(((S149-'포지션 정의'!$N$9)^2+(T149-'포지션 정의'!$O$9)^2+(U149-'포지션 정의'!$P$9)^2)/3)/'판정 기준'!$B$7),0)</f>
        <v>94</v>
      </c>
      <c r="AJ149" s="23" t="str">
        <f aca="false">IF(G149&gt;='판정 기준'!$B$8,"경기긴장도, ","")&amp;IF(Q149&gt;='판정 기준'!$B$8,"사회적 도움 활용, ","")&amp;IF(K149&gt;='판정 기준'!$B$8,"경기 준비 능력, ","")&amp;IF(N149&gt;='판정 기준'!$B$8,"실수 후 회복력, ","")&amp;IF(P149&gt;='판정 기준'!$B$8,"자기 통제력, ","")</f>
        <v>경기긴장도, 경기 준비 능력, 실수 후 회복력, 자기 통제력, </v>
      </c>
      <c r="AK149" s="23" t="n">
        <f aca="false">IF(AND(G149&lt;'판정 기준'!$B$8,OR(AJ149&lt;&gt;"",AP149&lt;&gt;"경기긴장도")),G149,0)</f>
        <v>0</v>
      </c>
      <c r="AL149" s="23" t="n">
        <f aca="false">IF(AND(Q149&lt;'판정 기준'!$B$8,OR(AJ149&lt;&gt;"",AP149&lt;&gt;"사회적 도움 활용")),Q149,0)</f>
        <v>4.2</v>
      </c>
      <c r="AM149" s="23" t="n">
        <f aca="false">IF(AND(K149&lt;'판정 기준'!$B$8,OR(AJ149&lt;&gt;"",AP149&lt;&gt;"경기 준비 능력")),K149,0)</f>
        <v>0</v>
      </c>
      <c r="AN149" s="23" t="n">
        <f aca="false">IF(AND(N149&lt;'판정 기준'!$B$8,OR(AJ149&lt;&gt;"",AP149&lt;&gt;"실수 후 회복력")),N149,0)</f>
        <v>0</v>
      </c>
      <c r="AO149" s="23" t="n">
        <f aca="false">IF(AND(P149&lt;'판정 기준'!$B$8,OR(AJ149&lt;&gt;"",AP149&lt;&gt;"자기 통제력")),P149,0)</f>
        <v>0</v>
      </c>
      <c r="AP149" s="23" t="str">
        <f aca="false">IF(Q149=MAX(G149,Q149,K149,N149,P149),"사회적 도움 활용",IF(P149=MAX(G149,Q149,K149,N149,P149),"자기 통제력",IF(G149=MAX(G149,Q149,K149,N149,P149),"경기긴장도",IF(K149=MAX(G149,Q149,K149,N149,P149),"경기 준비 능력","실수 후 회복력"))))</f>
        <v>자기 통제력</v>
      </c>
    </row>
    <row r="150" customFormat="false" ht="17.15" hidden="false" customHeight="false" outlineLevel="0" collapsed="false">
      <c r="A150" s="13" t="s">
        <v>369</v>
      </c>
      <c r="B150" s="13" t="s">
        <v>187</v>
      </c>
      <c r="C150" s="13" t="s">
        <v>355</v>
      </c>
      <c r="D150" s="14" t="n">
        <v>46150</v>
      </c>
      <c r="E150" s="41" t="s">
        <v>198</v>
      </c>
      <c r="F150" s="42" t="n">
        <v>3.8</v>
      </c>
      <c r="G150" s="42" t="n">
        <v>3.4</v>
      </c>
      <c r="H150" s="42" t="n">
        <v>3.5</v>
      </c>
      <c r="I150" s="42" t="n">
        <v>4.2</v>
      </c>
      <c r="J150" s="42" t="n">
        <v>2.8</v>
      </c>
      <c r="K150" s="42" t="n">
        <v>4.7</v>
      </c>
      <c r="L150" s="42" t="n">
        <v>4.8</v>
      </c>
      <c r="M150" s="42" t="n">
        <v>4.6</v>
      </c>
      <c r="N150" s="42" t="n">
        <v>3.7</v>
      </c>
      <c r="O150" s="42" t="n">
        <v>3.8</v>
      </c>
      <c r="P150" s="42" t="n">
        <v>3.5</v>
      </c>
      <c r="Q150" s="42" t="n">
        <v>5</v>
      </c>
      <c r="R150" s="42" t="n">
        <v>4.7</v>
      </c>
      <c r="S150" s="37" t="n">
        <f aca="false">AVERAGE(G150:J150)</f>
        <v>3.475</v>
      </c>
      <c r="T150" s="37" t="n">
        <f aca="false">AVERAGE(K150:M150)</f>
        <v>4.7</v>
      </c>
      <c r="U150" s="37" t="n">
        <f aca="false">AVERAGE(N150:O150)</f>
        <v>3.75</v>
      </c>
      <c r="V150" s="23" t="str">
        <f aca="false">IF(S150&gt;='판정 기준'!$B$3,"H","L")&amp;IF(T150&gt;='판정 기준'!$B$3,"H","L")&amp;IF(U150&gt;='판정 기준'!$B$3,"H","L")</f>
        <v>LHL</v>
      </c>
      <c r="W150" s="36" t="str">
        <f aca="false">INDEX('포지션 정의'!$A$2:$A$9,MATCH(V150,'포지션 정의'!$D$2:$D$9,0))</f>
        <v>A</v>
      </c>
      <c r="X150" s="36" t="str">
        <f aca="false">INDEX('포지션 정의'!$B$2:$B$9,MATCH(V150,'포지션 정의'!$D$2:$D$9,0))</f>
        <v>섬세한 준비형</v>
      </c>
      <c r="Y150" s="43" t="str">
        <f aca="false">IF(AJ150="","가장 높은 지표: "&amp;AP150,LEFT(AJ150,LEN(AJ150)-2))</f>
        <v>사회적 도움 활용</v>
      </c>
      <c r="Z150" s="43" t="str">
        <f aca="false">IF(MAX(AK150:AO150)=0,"심화: "&amp;IF(N150=MIN(G150,Q150,K150,N150,P150),"실수 후 회복력",IF(K150=MIN(G150,Q150,K150,N150,P150),"경기 준비 능력",IF(G150=MIN(G150,Q150,K150,N150,P150),"경기긴장도",IF(P150=MIN(G150,Q150,K150,N150,P150),"자기 통제력","사회적 도움 활용")))),IF(MAX(AK150:AO150)&gt;='판정 기준'!$B$8-'판정 기준'!$B$4,IF(AN150=MAX(AK150:AO150),"실수 후 회복력",IF(AM150=MAX(AK150:AO150),"경기 준비 능력",IF(AK150=MAX(AK150:AO150),"경기긴장도",IF(AO150=MAX(AK150:AO150),"자기 통제력","사회적 도움 활용")))),IF(AN150&gt;0,"실수 후 회복력",IF(AM150&gt;0,"경기 준비 능력",IF(AK150&gt;0,"경기긴장도",IF(AO150&gt;0,"자기 통제력","사회적 도움 활용"))))))</f>
        <v>경기 준비 능력</v>
      </c>
      <c r="AA150" s="43" t="str">
        <f aca="false">INDEX('포지션 정의'!$L$2:$L$9,MATCH(V150,'포지션 정의'!$D$2:$D$9,0))</f>
        <v>로베르트 레반도프스키 · 제임스 밀너 · 마르틴 외데고르</v>
      </c>
      <c r="AB150" s="24" t="n">
        <f aca="false">ROUND(100*(1-SQRT(((S150-'포지션 정의'!$N$2)^2+(T150-'포지션 정의'!$O$2)^2+(U150-'포지션 정의'!$P$2)^2)/3)/'판정 기준'!$B$7),0)</f>
        <v>93</v>
      </c>
      <c r="AC150" s="24" t="n">
        <f aca="false">ROUND(100*(1-SQRT(((S150-'포지션 정의'!$N$3)^2+(T150-'포지션 정의'!$O$3)^2+(U150-'포지션 정의'!$P$3)^2)/3)/'판정 기준'!$B$7),0)</f>
        <v>79</v>
      </c>
      <c r="AD150" s="24" t="n">
        <f aca="false">ROUND(100*(1-SQRT(((S150-'포지션 정의'!$N$4)^2+(T150-'포지션 정의'!$O$4)^2+(U150-'포지션 정의'!$P$4)^2)/3)/'판정 기준'!$B$7),0)</f>
        <v>78</v>
      </c>
      <c r="AE150" s="24" t="n">
        <f aca="false">ROUND(100*(1-SQRT(((S150-'포지션 정의'!$N$5)^2+(T150-'포지션 정의'!$O$5)^2+(U150-'포지션 정의'!$P$5)^2)/3)/'판정 기준'!$B$7),0)</f>
        <v>72</v>
      </c>
      <c r="AF150" s="24" t="n">
        <f aca="false">ROUND(100*(1-SQRT(((S150-'포지션 정의'!$N$6)^2+(T150-'포지션 정의'!$O$6)^2+(U150-'포지션 정의'!$P$6)^2)/3)/'판정 기준'!$B$7),0)</f>
        <v>80</v>
      </c>
      <c r="AG150" s="24" t="n">
        <f aca="false">ROUND(100*(1-SQRT(((S150-'포지션 정의'!$N$7)^2+(T150-'포지션 정의'!$O$7)^2+(U150-'포지션 정의'!$P$7)^2)/3)/'판정 기준'!$B$7),0)</f>
        <v>82</v>
      </c>
      <c r="AH150" s="24" t="n">
        <f aca="false">ROUND(100*(1-SQRT(((S150-'포지션 정의'!$N$8)^2+(T150-'포지션 정의'!$O$8)^2+(U150-'포지션 정의'!$P$8)^2)/3)/'판정 기준'!$B$7),0)</f>
        <v>89</v>
      </c>
      <c r="AI150" s="24" t="n">
        <f aca="false">ROUND(100*(1-SQRT(((S150-'포지션 정의'!$N$9)^2+(T150-'포지션 정의'!$O$9)^2+(U150-'포지션 정의'!$P$9)^2)/3)/'판정 기준'!$B$7),0)</f>
        <v>73</v>
      </c>
      <c r="AJ150" s="23" t="str">
        <f aca="false">IF(G150&gt;='판정 기준'!$B$8,"경기긴장도, ","")&amp;IF(Q150&gt;='판정 기준'!$B$8,"사회적 도움 활용, ","")&amp;IF(K150&gt;='판정 기준'!$B$8,"경기 준비 능력, ","")&amp;IF(N150&gt;='판정 기준'!$B$8,"실수 후 회복력, ","")&amp;IF(P150&gt;='판정 기준'!$B$8,"자기 통제력, ","")</f>
        <v>사회적 도움 활용, </v>
      </c>
      <c r="AK150" s="23" t="n">
        <f aca="false">IF(AND(G150&lt;'판정 기준'!$B$8,OR(AJ150&lt;&gt;"",AP150&lt;&gt;"경기긴장도")),G150,0)</f>
        <v>3.4</v>
      </c>
      <c r="AL150" s="23" t="n">
        <f aca="false">IF(AND(Q150&lt;'판정 기준'!$B$8,OR(AJ150&lt;&gt;"",AP150&lt;&gt;"사회적 도움 활용")),Q150,0)</f>
        <v>0</v>
      </c>
      <c r="AM150" s="23" t="n">
        <f aca="false">IF(AND(K150&lt;'판정 기준'!$B$8,OR(AJ150&lt;&gt;"",AP150&lt;&gt;"경기 준비 능력")),K150,0)</f>
        <v>4.7</v>
      </c>
      <c r="AN150" s="23" t="n">
        <f aca="false">IF(AND(N150&lt;'판정 기준'!$B$8,OR(AJ150&lt;&gt;"",AP150&lt;&gt;"실수 후 회복력")),N150,0)</f>
        <v>3.7</v>
      </c>
      <c r="AO150" s="23" t="n">
        <f aca="false">IF(AND(P150&lt;'판정 기준'!$B$8,OR(AJ150&lt;&gt;"",AP150&lt;&gt;"자기 통제력")),P150,0)</f>
        <v>3.5</v>
      </c>
      <c r="AP150" s="23" t="str">
        <f aca="false">IF(Q150=MAX(G150,Q150,K150,N150,P150),"사회적 도움 활용",IF(P150=MAX(G150,Q150,K150,N150,P150),"자기 통제력",IF(G150=MAX(G150,Q150,K150,N150,P150),"경기긴장도",IF(K150=MAX(G150,Q150,K150,N150,P150),"경기 준비 능력","실수 후 회복력"))))</f>
        <v>사회적 도움 활용</v>
      </c>
    </row>
    <row r="151" customFormat="false" ht="17.15" hidden="false" customHeight="false" outlineLevel="0" collapsed="false">
      <c r="A151" s="13" t="s">
        <v>370</v>
      </c>
      <c r="B151" s="13" t="s">
        <v>187</v>
      </c>
      <c r="C151" s="13" t="s">
        <v>355</v>
      </c>
      <c r="D151" s="14" t="n">
        <v>46148</v>
      </c>
      <c r="E151" s="41" t="s">
        <v>198</v>
      </c>
      <c r="F151" s="42" t="n">
        <v>4</v>
      </c>
      <c r="G151" s="42" t="n">
        <v>4.8</v>
      </c>
      <c r="H151" s="42" t="n">
        <v>5.3</v>
      </c>
      <c r="I151" s="42" t="n">
        <v>4.8</v>
      </c>
      <c r="J151" s="42" t="n">
        <v>4.5</v>
      </c>
      <c r="K151" s="42" t="n">
        <v>5.3</v>
      </c>
      <c r="L151" s="42" t="n">
        <v>5.5</v>
      </c>
      <c r="M151" s="42" t="n">
        <v>5.1</v>
      </c>
      <c r="N151" s="42" t="n">
        <v>2.7</v>
      </c>
      <c r="O151" s="42" t="n">
        <v>3.7</v>
      </c>
      <c r="P151" s="42" t="n">
        <v>3.3</v>
      </c>
      <c r="Q151" s="42" t="n">
        <v>5.8</v>
      </c>
      <c r="R151" s="42" t="n">
        <v>6</v>
      </c>
      <c r="S151" s="37" t="n">
        <f aca="false">AVERAGE(G151:J151)</f>
        <v>4.85</v>
      </c>
      <c r="T151" s="37" t="n">
        <f aca="false">AVERAGE(K151:M151)</f>
        <v>5.3</v>
      </c>
      <c r="U151" s="37" t="n">
        <f aca="false">AVERAGE(N151:O151)</f>
        <v>3.2</v>
      </c>
      <c r="V151" s="23" t="str">
        <f aca="false">IF(S151&gt;='판정 기준'!$B$3,"H","L")&amp;IF(T151&gt;='판정 기준'!$B$3,"H","L")&amp;IF(U151&gt;='판정 기준'!$B$3,"H","L")</f>
        <v>HHL</v>
      </c>
      <c r="W151" s="36" t="str">
        <f aca="false">INDEX('포지션 정의'!$A$2:$A$9,MATCH(V151,'포지션 정의'!$D$2:$D$9,0))</f>
        <v>B</v>
      </c>
      <c r="X151" s="36" t="str">
        <f aca="false">INDEX('포지션 정의'!$B$2:$B$9,MATCH(V151,'포지션 정의'!$D$2:$D$9,0))</f>
        <v>책임감 설계자형</v>
      </c>
      <c r="Y151" s="43" t="str">
        <f aca="false">IF(AJ151="","가장 높은 지표: "&amp;AP151,LEFT(AJ151,LEN(AJ151)-2))</f>
        <v>경기긴장도, 사회적 도움 활용, 경기 준비 능력</v>
      </c>
      <c r="Z151" s="43" t="str">
        <f aca="false">IF(MAX(AK151:AO151)=0,"심화: "&amp;IF(N151=MIN(G151,Q151,K151,N151,P151),"실수 후 회복력",IF(K151=MIN(G151,Q151,K151,N151,P151),"경기 준비 능력",IF(G151=MIN(G151,Q151,K151,N151,P151),"경기긴장도",IF(P151=MIN(G151,Q151,K151,N151,P151),"자기 통제력","사회적 도움 활용")))),IF(MAX(AK151:AO151)&gt;='판정 기준'!$B$8-'판정 기준'!$B$4,IF(AN151=MAX(AK151:AO151),"실수 후 회복력",IF(AM151=MAX(AK151:AO151),"경기 준비 능력",IF(AK151=MAX(AK151:AO151),"경기긴장도",IF(AO151=MAX(AK151:AO151),"자기 통제력","사회적 도움 활용")))),IF(AN151&gt;0,"실수 후 회복력",IF(AM151&gt;0,"경기 준비 능력",IF(AK151&gt;0,"경기긴장도",IF(AO151&gt;0,"자기 통제력","사회적 도움 활용"))))))</f>
        <v>실수 후 회복력</v>
      </c>
      <c r="AA151" s="43" t="str">
        <f aca="false">INDEX('포지션 정의'!$L$2:$L$9,MATCH(V151,'포지션 정의'!$D$2:$D$9,0))</f>
        <v>해리 케인 · 토니 크로스 · 필립 람</v>
      </c>
      <c r="AB151" s="24" t="n">
        <f aca="false">ROUND(100*(1-SQRT(((S151-'포지션 정의'!$N$2)^2+(T151-'포지션 정의'!$O$2)^2+(U151-'포지션 정의'!$P$2)^2)/3)/'판정 기준'!$B$7),0)</f>
        <v>86</v>
      </c>
      <c r="AC151" s="24" t="n">
        <f aca="false">ROUND(100*(1-SQRT(((S151-'포지션 정의'!$N$3)^2+(T151-'포지션 정의'!$O$3)^2+(U151-'포지션 정의'!$P$3)^2)/3)/'판정 기준'!$B$7),0)</f>
        <v>92</v>
      </c>
      <c r="AD151" s="24" t="n">
        <f aca="false">ROUND(100*(1-SQRT(((S151-'포지션 정의'!$N$4)^2+(T151-'포지션 정의'!$O$4)^2+(U151-'포지션 정의'!$P$4)^2)/3)/'판정 기준'!$B$7),0)</f>
        <v>81</v>
      </c>
      <c r="AE151" s="24" t="n">
        <f aca="false">ROUND(100*(1-SQRT(((S151-'포지션 정의'!$N$5)^2+(T151-'포지션 정의'!$O$5)^2+(U151-'포지션 정의'!$P$5)^2)/3)/'판정 기준'!$B$7),0)</f>
        <v>71</v>
      </c>
      <c r="AF151" s="24" t="n">
        <f aca="false">ROUND(100*(1-SQRT(((S151-'포지션 정의'!$N$6)^2+(T151-'포지션 정의'!$O$6)^2+(U151-'포지션 정의'!$P$6)^2)/3)/'판정 기준'!$B$7),0)</f>
        <v>69</v>
      </c>
      <c r="AG151" s="24" t="n">
        <f aca="false">ROUND(100*(1-SQRT(((S151-'포지션 정의'!$N$7)^2+(T151-'포지션 정의'!$O$7)^2+(U151-'포지션 정의'!$P$7)^2)/3)/'판정 기준'!$B$7),0)</f>
        <v>74</v>
      </c>
      <c r="AH151" s="24" t="n">
        <f aca="false">ROUND(100*(1-SQRT(((S151-'포지션 정의'!$N$8)^2+(T151-'포지션 정의'!$O$8)^2+(U151-'포지션 정의'!$P$8)^2)/3)/'판정 기준'!$B$7),0)</f>
        <v>78</v>
      </c>
      <c r="AI151" s="24" t="n">
        <f aca="false">ROUND(100*(1-SQRT(((S151-'포지션 정의'!$N$9)^2+(T151-'포지션 정의'!$O$9)^2+(U151-'포지션 정의'!$P$9)^2)/3)/'판정 기준'!$B$7),0)</f>
        <v>77</v>
      </c>
      <c r="AJ151" s="23" t="str">
        <f aca="false">IF(G151&gt;='판정 기준'!$B$8,"경기긴장도, ","")&amp;IF(Q151&gt;='판정 기준'!$B$8,"사회적 도움 활용, ","")&amp;IF(K151&gt;='판정 기준'!$B$8,"경기 준비 능력, ","")&amp;IF(N151&gt;='판정 기준'!$B$8,"실수 후 회복력, ","")&amp;IF(P151&gt;='판정 기준'!$B$8,"자기 통제력, ","")</f>
        <v>경기긴장도, 사회적 도움 활용, 경기 준비 능력, </v>
      </c>
      <c r="AK151" s="23" t="n">
        <f aca="false">IF(AND(G151&lt;'판정 기준'!$B$8,OR(AJ151&lt;&gt;"",AP151&lt;&gt;"경기긴장도")),G151,0)</f>
        <v>0</v>
      </c>
      <c r="AL151" s="23" t="n">
        <f aca="false">IF(AND(Q151&lt;'판정 기준'!$B$8,OR(AJ151&lt;&gt;"",AP151&lt;&gt;"사회적 도움 활용")),Q151,0)</f>
        <v>0</v>
      </c>
      <c r="AM151" s="23" t="n">
        <f aca="false">IF(AND(K151&lt;'판정 기준'!$B$8,OR(AJ151&lt;&gt;"",AP151&lt;&gt;"경기 준비 능력")),K151,0)</f>
        <v>0</v>
      </c>
      <c r="AN151" s="23" t="n">
        <f aca="false">IF(AND(N151&lt;'판정 기준'!$B$8,OR(AJ151&lt;&gt;"",AP151&lt;&gt;"실수 후 회복력")),N151,0)</f>
        <v>2.7</v>
      </c>
      <c r="AO151" s="23" t="n">
        <f aca="false">IF(AND(P151&lt;'판정 기준'!$B$8,OR(AJ151&lt;&gt;"",AP151&lt;&gt;"자기 통제력")),P151,0)</f>
        <v>3.3</v>
      </c>
      <c r="AP151" s="23" t="str">
        <f aca="false">IF(Q151=MAX(G151,Q151,K151,N151,P151),"사회적 도움 활용",IF(P151=MAX(G151,Q151,K151,N151,P151),"자기 통제력",IF(G151=MAX(G151,Q151,K151,N151,P151),"경기긴장도",IF(K151=MAX(G151,Q151,K151,N151,P151),"경기 준비 능력","실수 후 회복력"))))</f>
        <v>사회적 도움 활용</v>
      </c>
    </row>
    <row r="152" customFormat="false" ht="17.15" hidden="false" customHeight="false" outlineLevel="0" collapsed="false">
      <c r="A152" s="13" t="s">
        <v>371</v>
      </c>
      <c r="B152" s="13" t="s">
        <v>187</v>
      </c>
      <c r="C152" s="13" t="s">
        <v>367</v>
      </c>
      <c r="D152" s="14" t="n">
        <v>46148</v>
      </c>
      <c r="E152" s="41" t="s">
        <v>198</v>
      </c>
      <c r="F152" s="42" t="n">
        <v>5.5</v>
      </c>
      <c r="G152" s="42" t="n">
        <v>5.6</v>
      </c>
      <c r="H152" s="42" t="n">
        <v>5.7</v>
      </c>
      <c r="I152" s="42" t="n">
        <v>6</v>
      </c>
      <c r="J152" s="42" t="n">
        <v>5.3</v>
      </c>
      <c r="K152" s="42" t="n">
        <v>4.9</v>
      </c>
      <c r="L152" s="42" t="n">
        <v>5.2</v>
      </c>
      <c r="M152" s="42" t="n">
        <v>4.7</v>
      </c>
      <c r="N152" s="42" t="n">
        <v>6</v>
      </c>
      <c r="O152" s="42" t="n">
        <v>6</v>
      </c>
      <c r="P152" s="42" t="n">
        <v>5.2</v>
      </c>
      <c r="Q152" s="42" t="n">
        <v>5.8</v>
      </c>
      <c r="R152" s="42" t="n">
        <v>5.7</v>
      </c>
      <c r="S152" s="37" t="n">
        <f aca="false">AVERAGE(G152:J152)</f>
        <v>5.65</v>
      </c>
      <c r="T152" s="37" t="n">
        <f aca="false">AVERAGE(K152:M152)</f>
        <v>4.93333333333333</v>
      </c>
      <c r="U152" s="37" t="n">
        <f aca="false">AVERAGE(N152:O152)</f>
        <v>6</v>
      </c>
      <c r="V152" s="23" t="str">
        <f aca="false">IF(S152&gt;='판정 기준'!$B$3,"H","L")&amp;IF(T152&gt;='판정 기준'!$B$3,"H","L")&amp;IF(U152&gt;='판정 기준'!$B$3,"H","L")</f>
        <v>HHH</v>
      </c>
      <c r="W152" s="36" t="str">
        <f aca="false">INDEX('포지션 정의'!$A$2:$A$9,MATCH(V152,'포지션 정의'!$D$2:$D$9,0))</f>
        <v>H</v>
      </c>
      <c r="X152" s="36" t="str">
        <f aca="false">INDEX('포지션 정의'!$B$2:$B$9,MATCH(V152,'포지션 정의'!$D$2:$D$9,0))</f>
        <v>올라운드 밸런스형</v>
      </c>
      <c r="Y152" s="43" t="str">
        <f aca="false">IF(AJ152="","가장 높은 지표: "&amp;AP152,LEFT(AJ152,LEN(AJ152)-2))</f>
        <v>경기긴장도, 사회적 도움 활용, 경기 준비 능력, 실수 후 회복력, 자기 통제력</v>
      </c>
      <c r="Z152" s="43" t="str">
        <f aca="false">IF(MAX(AK152:AO152)=0,"심화: "&amp;IF(N152=MIN(G152,Q152,K152,N152,P152),"실수 후 회복력",IF(K152=MIN(G152,Q152,K152,N152,P152),"경기 준비 능력",IF(G152=MIN(G152,Q152,K152,N152,P152),"경기긴장도",IF(P152=MIN(G152,Q152,K152,N152,P152),"자기 통제력","사회적 도움 활용")))),IF(MAX(AK152:AO152)&gt;='판정 기준'!$B$8-'판정 기준'!$B$4,IF(AN152=MAX(AK152:AO152),"실수 후 회복력",IF(AM152=MAX(AK152:AO152),"경기 준비 능력",IF(AK152=MAX(AK152:AO152),"경기긴장도",IF(AO152=MAX(AK152:AO152),"자기 통제력","사회적 도움 활용")))),IF(AN152&gt;0,"실수 후 회복력",IF(AM152&gt;0,"경기 준비 능력",IF(AK152&gt;0,"경기긴장도",IF(AO152&gt;0,"자기 통제력","사회적 도움 활용"))))))</f>
        <v>심화: 경기 준비 능력</v>
      </c>
      <c r="AA152" s="43" t="str">
        <f aca="false">INDEX('포지션 정의'!$L$2:$L$9,MATCH(V152,'포지션 정의'!$D$2:$D$9,0))</f>
        <v>크리스티아누 호날두 · 루카 모드리치 · 버질 반 다이크</v>
      </c>
      <c r="AB152" s="24" t="n">
        <f aca="false">ROUND(100*(1-SQRT(((S152-'포지션 정의'!$N$2)^2+(T152-'포지션 정의'!$O$2)^2+(U152-'포지션 정의'!$P$2)^2)/3)/'판정 기준'!$B$7),0)</f>
        <v>67</v>
      </c>
      <c r="AC152" s="24" t="n">
        <f aca="false">ROUND(100*(1-SQRT(((S152-'포지션 정의'!$N$3)^2+(T152-'포지션 정의'!$O$3)^2+(U152-'포지션 정의'!$P$3)^2)/3)/'판정 기준'!$B$7),0)</f>
        <v>74</v>
      </c>
      <c r="AD152" s="24" t="n">
        <f aca="false">ROUND(100*(1-SQRT(((S152-'포지션 정의'!$N$4)^2+(T152-'포지션 정의'!$O$4)^2+(U152-'포지션 정의'!$P$4)^2)/3)/'판정 기준'!$B$7),0)</f>
        <v>71</v>
      </c>
      <c r="AE152" s="24" t="n">
        <f aca="false">ROUND(100*(1-SQRT(((S152-'포지션 정의'!$N$5)^2+(T152-'포지션 정의'!$O$5)^2+(U152-'포지션 정의'!$P$5)^2)/3)/'판정 기준'!$B$7),0)</f>
        <v>83</v>
      </c>
      <c r="AF152" s="24" t="n">
        <f aca="false">ROUND(100*(1-SQRT(((S152-'포지션 정의'!$N$6)^2+(T152-'포지션 정의'!$O$6)^2+(U152-'포지션 정의'!$P$6)^2)/3)/'판정 기준'!$B$7),0)</f>
        <v>73</v>
      </c>
      <c r="AG152" s="24" t="n">
        <f aca="false">ROUND(100*(1-SQRT(((S152-'포지션 정의'!$N$7)^2+(T152-'포지션 정의'!$O$7)^2+(U152-'포지션 정의'!$P$7)^2)/3)/'판정 기준'!$B$7),0)</f>
        <v>77</v>
      </c>
      <c r="AH152" s="24" t="n">
        <f aca="false">ROUND(100*(1-SQRT(((S152-'포지션 정의'!$N$8)^2+(T152-'포지션 정의'!$O$8)^2+(U152-'포지션 정의'!$P$8)^2)/3)/'판정 기준'!$B$7),0)</f>
        <v>64</v>
      </c>
      <c r="AI152" s="24" t="n">
        <f aca="false">ROUND(100*(1-SQRT(((S152-'포지션 정의'!$N$9)^2+(T152-'포지션 정의'!$O$9)^2+(U152-'포지션 정의'!$P$9)^2)/3)/'판정 기준'!$B$7),0)</f>
        <v>89</v>
      </c>
      <c r="AJ152" s="23" t="str">
        <f aca="false">IF(G152&gt;='판정 기준'!$B$8,"경기긴장도, ","")&amp;IF(Q152&gt;='판정 기준'!$B$8,"사회적 도움 활용, ","")&amp;IF(K152&gt;='판정 기준'!$B$8,"경기 준비 능력, ","")&amp;IF(N152&gt;='판정 기준'!$B$8,"실수 후 회복력, ","")&amp;IF(P152&gt;='판정 기준'!$B$8,"자기 통제력, ","")</f>
        <v>경기긴장도, 사회적 도움 활용, 경기 준비 능력, 실수 후 회복력, 자기 통제력, </v>
      </c>
      <c r="AK152" s="23" t="n">
        <f aca="false">IF(AND(G152&lt;'판정 기준'!$B$8,OR(AJ152&lt;&gt;"",AP152&lt;&gt;"경기긴장도")),G152,0)</f>
        <v>0</v>
      </c>
      <c r="AL152" s="23" t="n">
        <f aca="false">IF(AND(Q152&lt;'판정 기준'!$B$8,OR(AJ152&lt;&gt;"",AP152&lt;&gt;"사회적 도움 활용")),Q152,0)</f>
        <v>0</v>
      </c>
      <c r="AM152" s="23" t="n">
        <f aca="false">IF(AND(K152&lt;'판정 기준'!$B$8,OR(AJ152&lt;&gt;"",AP152&lt;&gt;"경기 준비 능력")),K152,0)</f>
        <v>0</v>
      </c>
      <c r="AN152" s="23" t="n">
        <f aca="false">IF(AND(N152&lt;'판정 기준'!$B$8,OR(AJ152&lt;&gt;"",AP152&lt;&gt;"실수 후 회복력")),N152,0)</f>
        <v>0</v>
      </c>
      <c r="AO152" s="23" t="n">
        <f aca="false">IF(AND(P152&lt;'판정 기준'!$B$8,OR(AJ152&lt;&gt;"",AP152&lt;&gt;"자기 통제력")),P152,0)</f>
        <v>0</v>
      </c>
      <c r="AP152" s="23" t="str">
        <f aca="false">IF(Q152=MAX(G152,Q152,K152,N152,P152),"사회적 도움 활용",IF(P152=MAX(G152,Q152,K152,N152,P152),"자기 통제력",IF(G152=MAX(G152,Q152,K152,N152,P152),"경기긴장도",IF(K152=MAX(G152,Q152,K152,N152,P152),"경기 준비 능력","실수 후 회복력"))))</f>
        <v>실수 후 회복력</v>
      </c>
    </row>
    <row r="153" customFormat="false" ht="17.15" hidden="false" customHeight="false" outlineLevel="0" collapsed="false">
      <c r="A153" s="13" t="s">
        <v>372</v>
      </c>
      <c r="B153" s="13" t="s">
        <v>187</v>
      </c>
      <c r="C153" s="13" t="s">
        <v>367</v>
      </c>
      <c r="D153" s="14" t="n">
        <v>46148</v>
      </c>
      <c r="E153" s="41" t="s">
        <v>198</v>
      </c>
      <c r="F153" s="42" t="n">
        <v>5.4</v>
      </c>
      <c r="G153" s="42" t="n">
        <v>5.4</v>
      </c>
      <c r="H153" s="42" t="n">
        <v>5.7</v>
      </c>
      <c r="I153" s="42" t="n">
        <v>5.6</v>
      </c>
      <c r="J153" s="42" t="n">
        <v>5.3</v>
      </c>
      <c r="K153" s="42" t="n">
        <v>4.4</v>
      </c>
      <c r="L153" s="42" t="n">
        <v>4.5</v>
      </c>
      <c r="M153" s="42" t="n">
        <v>4.3</v>
      </c>
      <c r="N153" s="42" t="n">
        <v>6</v>
      </c>
      <c r="O153" s="42" t="n">
        <v>6</v>
      </c>
      <c r="P153" s="42" t="n">
        <v>5.8</v>
      </c>
      <c r="Q153" s="42" t="n">
        <v>5.4</v>
      </c>
      <c r="R153" s="42" t="n">
        <v>6</v>
      </c>
      <c r="S153" s="37" t="n">
        <f aca="false">AVERAGE(G153:J153)</f>
        <v>5.5</v>
      </c>
      <c r="T153" s="37" t="n">
        <f aca="false">AVERAGE(K153:M153)</f>
        <v>4.4</v>
      </c>
      <c r="U153" s="37" t="n">
        <f aca="false">AVERAGE(N153:O153)</f>
        <v>6</v>
      </c>
      <c r="V153" s="23" t="str">
        <f aca="false">IF(S153&gt;='판정 기준'!$B$3,"H","L")&amp;IF(T153&gt;='판정 기준'!$B$3,"H","L")&amp;IF(U153&gt;='판정 기준'!$B$3,"H","L")</f>
        <v>HLH</v>
      </c>
      <c r="W153" s="36" t="str">
        <f aca="false">INDEX('포지션 정의'!$A$2:$A$9,MATCH(V153,'포지션 정의'!$D$2:$D$9,0))</f>
        <v>D</v>
      </c>
      <c r="X153" s="36" t="str">
        <f aca="false">INDEX('포지션 정의'!$B$2:$B$9,MATCH(V153,'포지션 정의'!$D$2:$D$9,0))</f>
        <v>실전 승부사형</v>
      </c>
      <c r="Y153" s="43" t="str">
        <f aca="false">IF(AJ153="","가장 높은 지표: "&amp;AP153,LEFT(AJ153,LEN(AJ153)-2))</f>
        <v>경기긴장도, 사회적 도움 활용, 실수 후 회복력, 자기 통제력</v>
      </c>
      <c r="Z153" s="43" t="str">
        <f aca="false">IF(MAX(AK153:AO153)=0,"심화: "&amp;IF(N153=MIN(G153,Q153,K153,N153,P153),"실수 후 회복력",IF(K153=MIN(G153,Q153,K153,N153,P153),"경기 준비 능력",IF(G153=MIN(G153,Q153,K153,N153,P153),"경기긴장도",IF(P153=MIN(G153,Q153,K153,N153,P153),"자기 통제력","사회적 도움 활용")))),IF(MAX(AK153:AO153)&gt;='판정 기준'!$B$8-'판정 기준'!$B$4,IF(AN153=MAX(AK153:AO153),"실수 후 회복력",IF(AM153=MAX(AK153:AO153),"경기 준비 능력",IF(AK153=MAX(AK153:AO153),"경기긴장도",IF(AO153=MAX(AK153:AO153),"자기 통제력","사회적 도움 활용")))),IF(AN153&gt;0,"실수 후 회복력",IF(AM153&gt;0,"경기 준비 능력",IF(AK153&gt;0,"경기긴장도",IF(AO153&gt;0,"자기 통제력","사회적 도움 활용"))))))</f>
        <v>경기 준비 능력</v>
      </c>
      <c r="AA153" s="43" t="str">
        <f aca="false">INDEX('포지션 정의'!$L$2:$L$9,MATCH(V153,'포지션 정의'!$D$2:$D$9,0))</f>
        <v>즐라탄 이브라히모비치 · 호나우지뉴 · 디에고 마라도나</v>
      </c>
      <c r="AB153" s="24" t="n">
        <f aca="false">ROUND(100*(1-SQRT(((S153-'포지션 정의'!$N$2)^2+(T153-'포지션 정의'!$O$2)^2+(U153-'포지션 정의'!$P$2)^2)/3)/'판정 기준'!$B$7),0)</f>
        <v>67</v>
      </c>
      <c r="AC153" s="24" t="n">
        <f aca="false">ROUND(100*(1-SQRT(((S153-'포지션 정의'!$N$3)^2+(T153-'포지션 정의'!$O$3)^2+(U153-'포지션 정의'!$P$3)^2)/3)/'판정 기준'!$B$7),0)</f>
        <v>73</v>
      </c>
      <c r="AD153" s="24" t="n">
        <f aca="false">ROUND(100*(1-SQRT(((S153-'포지션 정의'!$N$4)^2+(T153-'포지션 정의'!$O$4)^2+(U153-'포지션 정의'!$P$4)^2)/3)/'판정 기준'!$B$7),0)</f>
        <v>73</v>
      </c>
      <c r="AE153" s="24" t="n">
        <f aca="false">ROUND(100*(1-SQRT(((S153-'포지션 정의'!$N$5)^2+(T153-'포지션 정의'!$O$5)^2+(U153-'포지션 정의'!$P$5)^2)/3)/'판정 기준'!$B$7),0)</f>
        <v>88</v>
      </c>
      <c r="AF153" s="24" t="n">
        <f aca="false">ROUND(100*(1-SQRT(((S153-'포지션 정의'!$N$6)^2+(T153-'포지션 정의'!$O$6)^2+(U153-'포지션 정의'!$P$6)^2)/3)/'판정 기준'!$B$7),0)</f>
        <v>77</v>
      </c>
      <c r="AG153" s="24" t="n">
        <f aca="false">ROUND(100*(1-SQRT(((S153-'포지션 정의'!$N$7)^2+(T153-'포지션 정의'!$O$7)^2+(U153-'포지션 정의'!$P$7)^2)/3)/'판정 기준'!$B$7),0)</f>
        <v>76</v>
      </c>
      <c r="AH153" s="24" t="n">
        <f aca="false">ROUND(100*(1-SQRT(((S153-'포지션 정의'!$N$8)^2+(T153-'포지션 정의'!$O$8)^2+(U153-'포지션 정의'!$P$8)^2)/3)/'판정 기준'!$B$7),0)</f>
        <v>67</v>
      </c>
      <c r="AI153" s="24" t="n">
        <f aca="false">ROUND(100*(1-SQRT(((S153-'포지션 정의'!$N$9)^2+(T153-'포지션 정의'!$O$9)^2+(U153-'포지션 정의'!$P$9)^2)/3)/'판정 기준'!$B$7),0)</f>
        <v>86</v>
      </c>
      <c r="AJ153" s="23" t="str">
        <f aca="false">IF(G153&gt;='판정 기준'!$B$8,"경기긴장도, ","")&amp;IF(Q153&gt;='판정 기준'!$B$8,"사회적 도움 활용, ","")&amp;IF(K153&gt;='판정 기준'!$B$8,"경기 준비 능력, ","")&amp;IF(N153&gt;='판정 기준'!$B$8,"실수 후 회복력, ","")&amp;IF(P153&gt;='판정 기준'!$B$8,"자기 통제력, ","")</f>
        <v>경기긴장도, 사회적 도움 활용, 실수 후 회복력, 자기 통제력, </v>
      </c>
      <c r="AK153" s="23" t="n">
        <f aca="false">IF(AND(G153&lt;'판정 기준'!$B$8,OR(AJ153&lt;&gt;"",AP153&lt;&gt;"경기긴장도")),G153,0)</f>
        <v>0</v>
      </c>
      <c r="AL153" s="23" t="n">
        <f aca="false">IF(AND(Q153&lt;'판정 기준'!$B$8,OR(AJ153&lt;&gt;"",AP153&lt;&gt;"사회적 도움 활용")),Q153,0)</f>
        <v>0</v>
      </c>
      <c r="AM153" s="23" t="n">
        <f aca="false">IF(AND(K153&lt;'판정 기준'!$B$8,OR(AJ153&lt;&gt;"",AP153&lt;&gt;"경기 준비 능력")),K153,0)</f>
        <v>4.4</v>
      </c>
      <c r="AN153" s="23" t="n">
        <f aca="false">IF(AND(N153&lt;'판정 기준'!$B$8,OR(AJ153&lt;&gt;"",AP153&lt;&gt;"실수 후 회복력")),N153,0)</f>
        <v>0</v>
      </c>
      <c r="AO153" s="23" t="n">
        <f aca="false">IF(AND(P153&lt;'판정 기준'!$B$8,OR(AJ153&lt;&gt;"",AP153&lt;&gt;"자기 통제력")),P153,0)</f>
        <v>0</v>
      </c>
      <c r="AP153" s="23" t="str">
        <f aca="false">IF(Q153=MAX(G153,Q153,K153,N153,P153),"사회적 도움 활용",IF(P153=MAX(G153,Q153,K153,N153,P153),"자기 통제력",IF(G153=MAX(G153,Q153,K153,N153,P153),"경기긴장도",IF(K153=MAX(G153,Q153,K153,N153,P153),"경기 준비 능력","실수 후 회복력"))))</f>
        <v>실수 후 회복력</v>
      </c>
    </row>
    <row r="154" customFormat="false" ht="17.15" hidden="false" customHeight="false" outlineLevel="0" collapsed="false">
      <c r="A154" s="13" t="s">
        <v>373</v>
      </c>
      <c r="B154" s="13" t="s">
        <v>187</v>
      </c>
      <c r="C154" s="13" t="s">
        <v>355</v>
      </c>
      <c r="D154" s="14" t="n">
        <v>46148</v>
      </c>
      <c r="E154" s="41" t="s">
        <v>198</v>
      </c>
      <c r="F154" s="42" t="n">
        <v>5.5</v>
      </c>
      <c r="G154" s="42" t="n">
        <v>5.4</v>
      </c>
      <c r="H154" s="42" t="n">
        <v>4.8</v>
      </c>
      <c r="I154" s="42" t="n">
        <v>5.6</v>
      </c>
      <c r="J154" s="42" t="n">
        <v>5.2</v>
      </c>
      <c r="K154" s="42" t="n">
        <v>5.5</v>
      </c>
      <c r="L154" s="42" t="n">
        <v>5.3</v>
      </c>
      <c r="M154" s="42" t="n">
        <v>5.7</v>
      </c>
      <c r="N154" s="42" t="n">
        <v>5.9</v>
      </c>
      <c r="O154" s="42" t="n">
        <v>5.8</v>
      </c>
      <c r="P154" s="42" t="n">
        <v>4.8</v>
      </c>
      <c r="Q154" s="42" t="n">
        <v>5.6</v>
      </c>
      <c r="R154" s="42" t="n">
        <v>6</v>
      </c>
      <c r="S154" s="37" t="n">
        <f aca="false">AVERAGE(G154:J154)</f>
        <v>5.25</v>
      </c>
      <c r="T154" s="37" t="n">
        <f aca="false">AVERAGE(K154:M154)</f>
        <v>5.5</v>
      </c>
      <c r="U154" s="37" t="n">
        <f aca="false">AVERAGE(N154:O154)</f>
        <v>5.85</v>
      </c>
      <c r="V154" s="23" t="str">
        <f aca="false">IF(S154&gt;='판정 기준'!$B$3,"H","L")&amp;IF(T154&gt;='판정 기준'!$B$3,"H","L")&amp;IF(U154&gt;='판정 기준'!$B$3,"H","L")</f>
        <v>HHH</v>
      </c>
      <c r="W154" s="36" t="str">
        <f aca="false">INDEX('포지션 정의'!$A$2:$A$9,MATCH(V154,'포지션 정의'!$D$2:$D$9,0))</f>
        <v>H</v>
      </c>
      <c r="X154" s="36" t="str">
        <f aca="false">INDEX('포지션 정의'!$B$2:$B$9,MATCH(V154,'포지션 정의'!$D$2:$D$9,0))</f>
        <v>올라운드 밸런스형</v>
      </c>
      <c r="Y154" s="43" t="str">
        <f aca="false">IF(AJ154="","가장 높은 지표: "&amp;AP154,LEFT(AJ154,LEN(AJ154)-2))</f>
        <v>경기긴장도, 사회적 도움 활용, 경기 준비 능력, 실수 후 회복력, 자기 통제력</v>
      </c>
      <c r="Z154" s="43" t="str">
        <f aca="false">IF(MAX(AK154:AO154)=0,"심화: "&amp;IF(N154=MIN(G154,Q154,K154,N154,P154),"실수 후 회복력",IF(K154=MIN(G154,Q154,K154,N154,P154),"경기 준비 능력",IF(G154=MIN(G154,Q154,K154,N154,P154),"경기긴장도",IF(P154=MIN(G154,Q154,K154,N154,P154),"자기 통제력","사회적 도움 활용")))),IF(MAX(AK154:AO154)&gt;='판정 기준'!$B$8-'판정 기준'!$B$4,IF(AN154=MAX(AK154:AO154),"실수 후 회복력",IF(AM154=MAX(AK154:AO154),"경기 준비 능력",IF(AK154=MAX(AK154:AO154),"경기긴장도",IF(AO154=MAX(AK154:AO154),"자기 통제력","사회적 도움 활용")))),IF(AN154&gt;0,"실수 후 회복력",IF(AM154&gt;0,"경기 준비 능력",IF(AK154&gt;0,"경기긴장도",IF(AO154&gt;0,"자기 통제력","사회적 도움 활용"))))))</f>
        <v>심화: 자기 통제력</v>
      </c>
      <c r="AA154" s="43" t="str">
        <f aca="false">INDEX('포지션 정의'!$L$2:$L$9,MATCH(V154,'포지션 정의'!$D$2:$D$9,0))</f>
        <v>크리스티아누 호날두 · 루카 모드리치 · 버질 반 다이크</v>
      </c>
      <c r="AB154" s="24" t="n">
        <f aca="false">ROUND(100*(1-SQRT(((S154-'포지션 정의'!$N$2)^2+(T154-'포지션 정의'!$O$2)^2+(U154-'포지션 정의'!$P$2)^2)/3)/'판정 기준'!$B$7),0)</f>
        <v>71</v>
      </c>
      <c r="AC154" s="24" t="n">
        <f aca="false">ROUND(100*(1-SQRT(((S154-'포지션 정의'!$N$3)^2+(T154-'포지션 정의'!$O$3)^2+(U154-'포지션 정의'!$P$3)^2)/3)/'판정 기준'!$B$7),0)</f>
        <v>76</v>
      </c>
      <c r="AD154" s="24" t="n">
        <f aca="false">ROUND(100*(1-SQRT(((S154-'포지션 정의'!$N$4)^2+(T154-'포지션 정의'!$O$4)^2+(U154-'포지션 정의'!$P$4)^2)/3)/'판정 기준'!$B$7),0)</f>
        <v>69</v>
      </c>
      <c r="AE154" s="24" t="n">
        <f aca="false">ROUND(100*(1-SQRT(((S154-'포지션 정의'!$N$5)^2+(T154-'포지션 정의'!$O$5)^2+(U154-'포지션 정의'!$P$5)^2)/3)/'판정 기준'!$B$7),0)</f>
        <v>79</v>
      </c>
      <c r="AF154" s="24" t="n">
        <f aca="false">ROUND(100*(1-SQRT(((S154-'포지션 정의'!$N$6)^2+(T154-'포지션 정의'!$O$6)^2+(U154-'포지션 정의'!$P$6)^2)/3)/'판정 기준'!$B$7),0)</f>
        <v>73</v>
      </c>
      <c r="AG154" s="24" t="n">
        <f aca="false">ROUND(100*(1-SQRT(((S154-'포지션 정의'!$N$7)^2+(T154-'포지션 정의'!$O$7)^2+(U154-'포지션 정의'!$P$7)^2)/3)/'판정 기준'!$B$7),0)</f>
        <v>81</v>
      </c>
      <c r="AH154" s="24" t="n">
        <f aca="false">ROUND(100*(1-SQRT(((S154-'포지션 정의'!$N$8)^2+(T154-'포지션 정의'!$O$8)^2+(U154-'포지션 정의'!$P$8)^2)/3)/'판정 기준'!$B$7),0)</f>
        <v>65</v>
      </c>
      <c r="AI154" s="24" t="n">
        <f aca="false">ROUND(100*(1-SQRT(((S154-'포지션 정의'!$N$9)^2+(T154-'포지션 정의'!$O$9)^2+(U154-'포지션 정의'!$P$9)^2)/3)/'판정 기준'!$B$7),0)</f>
        <v>92</v>
      </c>
      <c r="AJ154" s="23" t="str">
        <f aca="false">IF(G154&gt;='판정 기준'!$B$8,"경기긴장도, ","")&amp;IF(Q154&gt;='판정 기준'!$B$8,"사회적 도움 활용, ","")&amp;IF(K154&gt;='판정 기준'!$B$8,"경기 준비 능력, ","")&amp;IF(N154&gt;='판정 기준'!$B$8,"실수 후 회복력, ","")&amp;IF(P154&gt;='판정 기준'!$B$8,"자기 통제력, ","")</f>
        <v>경기긴장도, 사회적 도움 활용, 경기 준비 능력, 실수 후 회복력, 자기 통제력, </v>
      </c>
      <c r="AK154" s="23" t="n">
        <f aca="false">IF(AND(G154&lt;'판정 기준'!$B$8,OR(AJ154&lt;&gt;"",AP154&lt;&gt;"경기긴장도")),G154,0)</f>
        <v>0</v>
      </c>
      <c r="AL154" s="23" t="n">
        <f aca="false">IF(AND(Q154&lt;'판정 기준'!$B$8,OR(AJ154&lt;&gt;"",AP154&lt;&gt;"사회적 도움 활용")),Q154,0)</f>
        <v>0</v>
      </c>
      <c r="AM154" s="23" t="n">
        <f aca="false">IF(AND(K154&lt;'판정 기준'!$B$8,OR(AJ154&lt;&gt;"",AP154&lt;&gt;"경기 준비 능력")),K154,0)</f>
        <v>0</v>
      </c>
      <c r="AN154" s="23" t="n">
        <f aca="false">IF(AND(N154&lt;'판정 기준'!$B$8,OR(AJ154&lt;&gt;"",AP154&lt;&gt;"실수 후 회복력")),N154,0)</f>
        <v>0</v>
      </c>
      <c r="AO154" s="23" t="n">
        <f aca="false">IF(AND(P154&lt;'판정 기준'!$B$8,OR(AJ154&lt;&gt;"",AP154&lt;&gt;"자기 통제력")),P154,0)</f>
        <v>0</v>
      </c>
      <c r="AP154" s="23" t="str">
        <f aca="false">IF(Q154=MAX(G154,Q154,K154,N154,P154),"사회적 도움 활용",IF(P154=MAX(G154,Q154,K154,N154,P154),"자기 통제력",IF(G154=MAX(G154,Q154,K154,N154,P154),"경기긴장도",IF(K154=MAX(G154,Q154,K154,N154,P154),"경기 준비 능력","실수 후 회복력"))))</f>
        <v>실수 후 회복력</v>
      </c>
    </row>
    <row r="155" customFormat="false" ht="17.15" hidden="false" customHeight="false" outlineLevel="0" collapsed="false">
      <c r="A155" s="13" t="s">
        <v>374</v>
      </c>
      <c r="B155" s="13" t="s">
        <v>187</v>
      </c>
      <c r="C155" s="13" t="s">
        <v>355</v>
      </c>
      <c r="D155" s="14" t="n">
        <v>46148</v>
      </c>
      <c r="E155" s="41" t="s">
        <v>198</v>
      </c>
      <c r="F155" s="42" t="n">
        <v>5.3</v>
      </c>
      <c r="G155" s="42" t="n">
        <v>5.5</v>
      </c>
      <c r="H155" s="42" t="n">
        <v>5.3</v>
      </c>
      <c r="I155" s="42" t="n">
        <v>5.8</v>
      </c>
      <c r="J155" s="42" t="n">
        <v>5.5</v>
      </c>
      <c r="K155" s="42" t="n">
        <v>4.5</v>
      </c>
      <c r="L155" s="42" t="n">
        <v>4.3</v>
      </c>
      <c r="M155" s="42" t="n">
        <v>4.7</v>
      </c>
      <c r="N155" s="42" t="n">
        <v>5.9</v>
      </c>
      <c r="O155" s="42" t="n">
        <v>5.8</v>
      </c>
      <c r="P155" s="42" t="n">
        <v>5.3</v>
      </c>
      <c r="Q155" s="42" t="n">
        <v>6</v>
      </c>
      <c r="R155" s="42" t="n">
        <v>5.7</v>
      </c>
      <c r="S155" s="37" t="n">
        <f aca="false">AVERAGE(G155:J155)</f>
        <v>5.525</v>
      </c>
      <c r="T155" s="37" t="n">
        <f aca="false">AVERAGE(K155:M155)</f>
        <v>4.5</v>
      </c>
      <c r="U155" s="37" t="n">
        <f aca="false">AVERAGE(N155:O155)</f>
        <v>5.85</v>
      </c>
      <c r="V155" s="23" t="str">
        <f aca="false">IF(S155&gt;='판정 기준'!$B$3,"H","L")&amp;IF(T155&gt;='판정 기준'!$B$3,"H","L")&amp;IF(U155&gt;='판정 기준'!$B$3,"H","L")</f>
        <v>HHH</v>
      </c>
      <c r="W155" s="36" t="str">
        <f aca="false">INDEX('포지션 정의'!$A$2:$A$9,MATCH(V155,'포지션 정의'!$D$2:$D$9,0))</f>
        <v>H</v>
      </c>
      <c r="X155" s="36" t="str">
        <f aca="false">INDEX('포지션 정의'!$B$2:$B$9,MATCH(V155,'포지션 정의'!$D$2:$D$9,0))</f>
        <v>올라운드 밸런스형</v>
      </c>
      <c r="Y155" s="43" t="str">
        <f aca="false">IF(AJ155="","가장 높은 지표: "&amp;AP155,LEFT(AJ155,LEN(AJ155)-2))</f>
        <v>경기긴장도, 사회적 도움 활용, 실수 후 회복력, 자기 통제력</v>
      </c>
      <c r="Z155" s="43" t="str">
        <f aca="false">IF(MAX(AK155:AO155)=0,"심화: "&amp;IF(N155=MIN(G155,Q155,K155,N155,P155),"실수 후 회복력",IF(K155=MIN(G155,Q155,K155,N155,P155),"경기 준비 능력",IF(G155=MIN(G155,Q155,K155,N155,P155),"경기긴장도",IF(P155=MIN(G155,Q155,K155,N155,P155),"자기 통제력","사회적 도움 활용")))),IF(MAX(AK155:AO155)&gt;='판정 기준'!$B$8-'판정 기준'!$B$4,IF(AN155=MAX(AK155:AO155),"실수 후 회복력",IF(AM155=MAX(AK155:AO155),"경기 준비 능력",IF(AK155=MAX(AK155:AO155),"경기긴장도",IF(AO155=MAX(AK155:AO155),"자기 통제력","사회적 도움 활용")))),IF(AN155&gt;0,"실수 후 회복력",IF(AM155&gt;0,"경기 준비 능력",IF(AK155&gt;0,"경기긴장도",IF(AO155&gt;0,"자기 통제력","사회적 도움 활용"))))))</f>
        <v>경기 준비 능력</v>
      </c>
      <c r="AA155" s="43" t="str">
        <f aca="false">INDEX('포지션 정의'!$L$2:$L$9,MATCH(V155,'포지션 정의'!$D$2:$D$9,0))</f>
        <v>크리스티아누 호날두 · 루카 모드리치 · 버질 반 다이크</v>
      </c>
      <c r="AB155" s="24" t="n">
        <f aca="false">ROUND(100*(1-SQRT(((S155-'포지션 정의'!$N$2)^2+(T155-'포지션 정의'!$O$2)^2+(U155-'포지션 정의'!$P$2)^2)/3)/'판정 기준'!$B$7),0)</f>
        <v>68</v>
      </c>
      <c r="AC155" s="24" t="n">
        <f aca="false">ROUND(100*(1-SQRT(((S155-'포지션 정의'!$N$3)^2+(T155-'포지션 정의'!$O$3)^2+(U155-'포지션 정의'!$P$3)^2)/3)/'판정 기준'!$B$7),0)</f>
        <v>75</v>
      </c>
      <c r="AD155" s="24" t="n">
        <f aca="false">ROUND(100*(1-SQRT(((S155-'포지션 정의'!$N$4)^2+(T155-'포지션 정의'!$O$4)^2+(U155-'포지션 정의'!$P$4)^2)/3)/'판정 기준'!$B$7),0)</f>
        <v>75</v>
      </c>
      <c r="AE155" s="24" t="n">
        <f aca="false">ROUND(100*(1-SQRT(((S155-'포지션 정의'!$N$5)^2+(T155-'포지션 정의'!$O$5)^2+(U155-'포지션 정의'!$P$5)^2)/3)/'판정 기준'!$B$7),0)</f>
        <v>88</v>
      </c>
      <c r="AF155" s="24" t="n">
        <f aca="false">ROUND(100*(1-SQRT(((S155-'포지션 정의'!$N$6)^2+(T155-'포지션 정의'!$O$6)^2+(U155-'포지션 정의'!$P$6)^2)/3)/'판정 기준'!$B$7),0)</f>
        <v>77</v>
      </c>
      <c r="AG155" s="24" t="n">
        <f aca="false">ROUND(100*(1-SQRT(((S155-'포지션 정의'!$N$7)^2+(T155-'포지션 정의'!$O$7)^2+(U155-'포지션 정의'!$P$7)^2)/3)/'판정 기준'!$B$7),0)</f>
        <v>77</v>
      </c>
      <c r="AH155" s="24" t="n">
        <f aca="false">ROUND(100*(1-SQRT(((S155-'포지션 정의'!$N$8)^2+(T155-'포지션 정의'!$O$8)^2+(U155-'포지션 정의'!$P$8)^2)/3)/'판정 기준'!$B$7),0)</f>
        <v>68</v>
      </c>
      <c r="AI155" s="24" t="n">
        <f aca="false">ROUND(100*(1-SQRT(((S155-'포지션 정의'!$N$9)^2+(T155-'포지션 정의'!$O$9)^2+(U155-'포지션 정의'!$P$9)^2)/3)/'판정 기준'!$B$7),0)</f>
        <v>88</v>
      </c>
      <c r="AJ155" s="23" t="str">
        <f aca="false">IF(G155&gt;='판정 기준'!$B$8,"경기긴장도, ","")&amp;IF(Q155&gt;='판정 기준'!$B$8,"사회적 도움 활용, ","")&amp;IF(K155&gt;='판정 기준'!$B$8,"경기 준비 능력, ","")&amp;IF(N155&gt;='판정 기준'!$B$8,"실수 후 회복력, ","")&amp;IF(P155&gt;='판정 기준'!$B$8,"자기 통제력, ","")</f>
        <v>경기긴장도, 사회적 도움 활용, 실수 후 회복력, 자기 통제력, </v>
      </c>
      <c r="AK155" s="23" t="n">
        <f aca="false">IF(AND(G155&lt;'판정 기준'!$B$8,OR(AJ155&lt;&gt;"",AP155&lt;&gt;"경기긴장도")),G155,0)</f>
        <v>0</v>
      </c>
      <c r="AL155" s="23" t="n">
        <f aca="false">IF(AND(Q155&lt;'판정 기준'!$B$8,OR(AJ155&lt;&gt;"",AP155&lt;&gt;"사회적 도움 활용")),Q155,0)</f>
        <v>0</v>
      </c>
      <c r="AM155" s="23" t="n">
        <f aca="false">IF(AND(K155&lt;'판정 기준'!$B$8,OR(AJ155&lt;&gt;"",AP155&lt;&gt;"경기 준비 능력")),K155,0)</f>
        <v>4.5</v>
      </c>
      <c r="AN155" s="23" t="n">
        <f aca="false">IF(AND(N155&lt;'판정 기준'!$B$8,OR(AJ155&lt;&gt;"",AP155&lt;&gt;"실수 후 회복력")),N155,0)</f>
        <v>0</v>
      </c>
      <c r="AO155" s="23" t="n">
        <f aca="false">IF(AND(P155&lt;'판정 기준'!$B$8,OR(AJ155&lt;&gt;"",AP155&lt;&gt;"자기 통제력")),P155,0)</f>
        <v>0</v>
      </c>
      <c r="AP155" s="23" t="str">
        <f aca="false">IF(Q155=MAX(G155,Q155,K155,N155,P155),"사회적 도움 활용",IF(P155=MAX(G155,Q155,K155,N155,P155),"자기 통제력",IF(G155=MAX(G155,Q155,K155,N155,P155),"경기긴장도",IF(K155=MAX(G155,Q155,K155,N155,P155),"경기 준비 능력","실수 후 회복력"))))</f>
        <v>사회적 도움 활용</v>
      </c>
    </row>
    <row r="156" customFormat="false" ht="17.15" hidden="false" customHeight="false" outlineLevel="0" collapsed="false">
      <c r="A156" s="13" t="s">
        <v>375</v>
      </c>
      <c r="B156" s="13" t="s">
        <v>187</v>
      </c>
      <c r="C156" s="13" t="s">
        <v>355</v>
      </c>
      <c r="D156" s="14" t="n">
        <v>46148</v>
      </c>
      <c r="E156" s="41" t="s">
        <v>198</v>
      </c>
      <c r="F156" s="42" t="n">
        <v>5.1</v>
      </c>
      <c r="G156" s="42" t="n">
        <v>5.1</v>
      </c>
      <c r="H156" s="42" t="n">
        <v>4.8</v>
      </c>
      <c r="I156" s="42" t="n">
        <v>5.8</v>
      </c>
      <c r="J156" s="42" t="n">
        <v>5</v>
      </c>
      <c r="K156" s="42" t="n">
        <v>4.9</v>
      </c>
      <c r="L156" s="42" t="n">
        <v>5.2</v>
      </c>
      <c r="M156" s="42" t="n">
        <v>4.7</v>
      </c>
      <c r="N156" s="42" t="n">
        <v>5.7</v>
      </c>
      <c r="O156" s="42" t="n">
        <v>5</v>
      </c>
      <c r="P156" s="42" t="n">
        <v>4.3</v>
      </c>
      <c r="Q156" s="42" t="n">
        <v>5</v>
      </c>
      <c r="R156" s="42" t="n">
        <v>6</v>
      </c>
      <c r="S156" s="37" t="n">
        <f aca="false">AVERAGE(G156:J156)</f>
        <v>5.175</v>
      </c>
      <c r="T156" s="37" t="n">
        <f aca="false">AVERAGE(K156:M156)</f>
        <v>4.93333333333333</v>
      </c>
      <c r="U156" s="37" t="n">
        <f aca="false">AVERAGE(N156:O156)</f>
        <v>5.35</v>
      </c>
      <c r="V156" s="23" t="str">
        <f aca="false">IF(S156&gt;='판정 기준'!$B$3,"H","L")&amp;IF(T156&gt;='판정 기준'!$B$3,"H","L")&amp;IF(U156&gt;='판정 기준'!$B$3,"H","L")</f>
        <v>HHH</v>
      </c>
      <c r="W156" s="36" t="str">
        <f aca="false">INDEX('포지션 정의'!$A$2:$A$9,MATCH(V156,'포지션 정의'!$D$2:$D$9,0))</f>
        <v>H</v>
      </c>
      <c r="X156" s="36" t="str">
        <f aca="false">INDEX('포지션 정의'!$B$2:$B$9,MATCH(V156,'포지션 정의'!$D$2:$D$9,0))</f>
        <v>올라운드 밸런스형</v>
      </c>
      <c r="Y156" s="43" t="str">
        <f aca="false">IF(AJ156="","가장 높은 지표: "&amp;AP156,LEFT(AJ156,LEN(AJ156)-2))</f>
        <v>경기긴장도, 사회적 도움 활용, 경기 준비 능력, 실수 후 회복력</v>
      </c>
      <c r="Z156" s="43" t="str">
        <f aca="false">IF(MAX(AK156:AO156)=0,"심화: "&amp;IF(N156=MIN(G156,Q156,K156,N156,P156),"실수 후 회복력",IF(K156=MIN(G156,Q156,K156,N156,P156),"경기 준비 능력",IF(G156=MIN(G156,Q156,K156,N156,P156),"경기긴장도",IF(P156=MIN(G156,Q156,K156,N156,P156),"자기 통제력","사회적 도움 활용")))),IF(MAX(AK156:AO156)&gt;='판정 기준'!$B$8-'판정 기준'!$B$4,IF(AN156=MAX(AK156:AO156),"실수 후 회복력",IF(AM156=MAX(AK156:AO156),"경기 준비 능력",IF(AK156=MAX(AK156:AO156),"경기긴장도",IF(AO156=MAX(AK156:AO156),"자기 통제력","사회적 도움 활용")))),IF(AN156&gt;0,"실수 후 회복력",IF(AM156&gt;0,"경기 준비 능력",IF(AK156&gt;0,"경기긴장도",IF(AO156&gt;0,"자기 통제력","사회적 도움 활용"))))))</f>
        <v>자기 통제력</v>
      </c>
      <c r="AA156" s="43" t="str">
        <f aca="false">INDEX('포지션 정의'!$L$2:$L$9,MATCH(V156,'포지션 정의'!$D$2:$D$9,0))</f>
        <v>크리스티아누 호날두 · 루카 모드리치 · 버질 반 다이크</v>
      </c>
      <c r="AB156" s="24" t="n">
        <f aca="false">ROUND(100*(1-SQRT(((S156-'포지션 정의'!$N$2)^2+(T156-'포지션 정의'!$O$2)^2+(U156-'포지션 정의'!$P$2)^2)/3)/'판정 기준'!$B$7),0)</f>
        <v>76</v>
      </c>
      <c r="AC156" s="24" t="n">
        <f aca="false">ROUND(100*(1-SQRT(((S156-'포지션 정의'!$N$3)^2+(T156-'포지션 정의'!$O$3)^2+(U156-'포지션 정의'!$P$3)^2)/3)/'판정 기준'!$B$7),0)</f>
        <v>82</v>
      </c>
      <c r="AD156" s="24" t="n">
        <f aca="false">ROUND(100*(1-SQRT(((S156-'포지션 정의'!$N$4)^2+(T156-'포지션 정의'!$O$4)^2+(U156-'포지션 정의'!$P$4)^2)/3)/'판정 기준'!$B$7),0)</f>
        <v>78</v>
      </c>
      <c r="AE156" s="24" t="n">
        <f aca="false">ROUND(100*(1-SQRT(((S156-'포지션 정의'!$N$5)^2+(T156-'포지션 정의'!$O$5)^2+(U156-'포지션 정의'!$P$5)^2)/3)/'판정 기준'!$B$7),0)</f>
        <v>87</v>
      </c>
      <c r="AF156" s="24" t="n">
        <f aca="false">ROUND(100*(1-SQRT(((S156-'포지션 정의'!$N$6)^2+(T156-'포지션 정의'!$O$6)^2+(U156-'포지션 정의'!$P$6)^2)/3)/'판정 기준'!$B$7),0)</f>
        <v>79</v>
      </c>
      <c r="AG156" s="24" t="n">
        <f aca="false">ROUND(100*(1-SQRT(((S156-'포지션 정의'!$N$7)^2+(T156-'포지션 정의'!$O$7)^2+(U156-'포지션 정의'!$P$7)^2)/3)/'판정 기준'!$B$7),0)</f>
        <v>84</v>
      </c>
      <c r="AH156" s="24" t="n">
        <f aca="false">ROUND(100*(1-SQRT(((S156-'포지션 정의'!$N$8)^2+(T156-'포지션 정의'!$O$8)^2+(U156-'포지션 정의'!$P$8)^2)/3)/'판정 기준'!$B$7),0)</f>
        <v>73</v>
      </c>
      <c r="AI156" s="24" t="n">
        <f aca="false">ROUND(100*(1-SQRT(((S156-'포지션 정의'!$N$9)^2+(T156-'포지션 정의'!$O$9)^2+(U156-'포지션 정의'!$P$9)^2)/3)/'판정 기준'!$B$7),0)</f>
        <v>96</v>
      </c>
      <c r="AJ156" s="23" t="str">
        <f aca="false">IF(G156&gt;='판정 기준'!$B$8,"경기긴장도, ","")&amp;IF(Q156&gt;='판정 기준'!$B$8,"사회적 도움 활용, ","")&amp;IF(K156&gt;='판정 기준'!$B$8,"경기 준비 능력, ","")&amp;IF(N156&gt;='판정 기준'!$B$8,"실수 후 회복력, ","")&amp;IF(P156&gt;='판정 기준'!$B$8,"자기 통제력, ","")</f>
        <v>경기긴장도, 사회적 도움 활용, 경기 준비 능력, 실수 후 회복력, </v>
      </c>
      <c r="AK156" s="23" t="n">
        <f aca="false">IF(AND(G156&lt;'판정 기준'!$B$8,OR(AJ156&lt;&gt;"",AP156&lt;&gt;"경기긴장도")),G156,0)</f>
        <v>0</v>
      </c>
      <c r="AL156" s="23" t="n">
        <f aca="false">IF(AND(Q156&lt;'판정 기준'!$B$8,OR(AJ156&lt;&gt;"",AP156&lt;&gt;"사회적 도움 활용")),Q156,0)</f>
        <v>0</v>
      </c>
      <c r="AM156" s="23" t="n">
        <f aca="false">IF(AND(K156&lt;'판정 기준'!$B$8,OR(AJ156&lt;&gt;"",AP156&lt;&gt;"경기 준비 능력")),K156,0)</f>
        <v>0</v>
      </c>
      <c r="AN156" s="23" t="n">
        <f aca="false">IF(AND(N156&lt;'판정 기준'!$B$8,OR(AJ156&lt;&gt;"",AP156&lt;&gt;"실수 후 회복력")),N156,0)</f>
        <v>0</v>
      </c>
      <c r="AO156" s="23" t="n">
        <f aca="false">IF(AND(P156&lt;'판정 기준'!$B$8,OR(AJ156&lt;&gt;"",AP156&lt;&gt;"자기 통제력")),P156,0)</f>
        <v>4.3</v>
      </c>
      <c r="AP156" s="23" t="str">
        <f aca="false">IF(Q156=MAX(G156,Q156,K156,N156,P156),"사회적 도움 활용",IF(P156=MAX(G156,Q156,K156,N156,P156),"자기 통제력",IF(G156=MAX(G156,Q156,K156,N156,P156),"경기긴장도",IF(K156=MAX(G156,Q156,K156,N156,P156),"경기 준비 능력","실수 후 회복력"))))</f>
        <v>실수 후 회복력</v>
      </c>
    </row>
    <row r="157" customFormat="false" ht="17.15" hidden="false" customHeight="false" outlineLevel="0" collapsed="false">
      <c r="A157" s="13" t="s">
        <v>376</v>
      </c>
      <c r="B157" s="13" t="s">
        <v>187</v>
      </c>
      <c r="C157" s="13" t="s">
        <v>226</v>
      </c>
      <c r="D157" s="14" t="n">
        <v>46142</v>
      </c>
      <c r="E157" s="41" t="s">
        <v>193</v>
      </c>
      <c r="F157" s="42" t="n">
        <v>4.9</v>
      </c>
      <c r="G157" s="42" t="n">
        <v>4.7</v>
      </c>
      <c r="H157" s="42" t="n">
        <v>4.5</v>
      </c>
      <c r="I157" s="42" t="n">
        <v>5</v>
      </c>
      <c r="J157" s="42" t="n">
        <v>4.3</v>
      </c>
      <c r="K157" s="42" t="n">
        <v>5.1</v>
      </c>
      <c r="L157" s="42" t="n">
        <v>4.8</v>
      </c>
      <c r="M157" s="42" t="n">
        <v>5.3</v>
      </c>
      <c r="N157" s="42" t="n">
        <v>5.4</v>
      </c>
      <c r="O157" s="42" t="n">
        <v>5.2</v>
      </c>
      <c r="P157" s="42" t="n">
        <v>4.3</v>
      </c>
      <c r="Q157" s="42" t="n">
        <v>5</v>
      </c>
      <c r="R157" s="42" t="n">
        <v>6</v>
      </c>
      <c r="S157" s="37" t="n">
        <f aca="false">AVERAGE(G157:J157)</f>
        <v>4.625</v>
      </c>
      <c r="T157" s="37" t="n">
        <f aca="false">AVERAGE(K157:M157)</f>
        <v>5.06666666666667</v>
      </c>
      <c r="U157" s="37" t="n">
        <f aca="false">AVERAGE(N157:O157)</f>
        <v>5.3</v>
      </c>
      <c r="V157" s="23" t="str">
        <f aca="false">IF(S157&gt;='판정 기준'!$B$3,"H","L")&amp;IF(T157&gt;='판정 기준'!$B$3,"H","L")&amp;IF(U157&gt;='판정 기준'!$B$3,"H","L")</f>
        <v>HHH</v>
      </c>
      <c r="W157" s="36" t="str">
        <f aca="false">INDEX('포지션 정의'!$A$2:$A$9,MATCH(V157,'포지션 정의'!$D$2:$D$9,0))</f>
        <v>H</v>
      </c>
      <c r="X157" s="36" t="str">
        <f aca="false">INDEX('포지션 정의'!$B$2:$B$9,MATCH(V157,'포지션 정의'!$D$2:$D$9,0))</f>
        <v>올라운드 밸런스형</v>
      </c>
      <c r="Y157" s="43" t="str">
        <f aca="false">IF(AJ157="","가장 높은 지표: "&amp;AP157,LEFT(AJ157,LEN(AJ157)-2))</f>
        <v>사회적 도움 활용, 경기 준비 능력, 실수 후 회복력</v>
      </c>
      <c r="Z157" s="43" t="str">
        <f aca="false">IF(MAX(AK157:AO157)=0,"심화: "&amp;IF(N157=MIN(G157,Q157,K157,N157,P157),"실수 후 회복력",IF(K157=MIN(G157,Q157,K157,N157,P157),"경기 준비 능력",IF(G157=MIN(G157,Q157,K157,N157,P157),"경기긴장도",IF(P157=MIN(G157,Q157,K157,N157,P157),"자기 통제력","사회적 도움 활용")))),IF(MAX(AK157:AO157)&gt;='판정 기준'!$B$8-'판정 기준'!$B$4,IF(AN157=MAX(AK157:AO157),"실수 후 회복력",IF(AM157=MAX(AK157:AO157),"경기 준비 능력",IF(AK157=MAX(AK157:AO157),"경기긴장도",IF(AO157=MAX(AK157:AO157),"자기 통제력","사회적 도움 활용")))),IF(AN157&gt;0,"실수 후 회복력",IF(AM157&gt;0,"경기 준비 능력",IF(AK157&gt;0,"경기긴장도",IF(AO157&gt;0,"자기 통제력","사회적 도움 활용"))))))</f>
        <v>경기긴장도</v>
      </c>
      <c r="AA157" s="43" t="str">
        <f aca="false">INDEX('포지션 정의'!$L$2:$L$9,MATCH(V157,'포지션 정의'!$D$2:$D$9,0))</f>
        <v>크리스티아누 호날두 · 루카 모드리치 · 버질 반 다이크</v>
      </c>
      <c r="AB157" s="24" t="n">
        <f aca="false">ROUND(100*(1-SQRT(((S157-'포지션 정의'!$N$2)^2+(T157-'포지션 정의'!$O$2)^2+(U157-'포지션 정의'!$P$2)^2)/3)/'판정 기준'!$B$7),0)</f>
        <v>80</v>
      </c>
      <c r="AC157" s="24" t="n">
        <f aca="false">ROUND(100*(1-SQRT(((S157-'포지션 정의'!$N$3)^2+(T157-'포지션 정의'!$O$3)^2+(U157-'포지션 정의'!$P$3)^2)/3)/'판정 기준'!$B$7),0)</f>
        <v>81</v>
      </c>
      <c r="AD157" s="24" t="n">
        <f aca="false">ROUND(100*(1-SQRT(((S157-'포지션 정의'!$N$4)^2+(T157-'포지션 정의'!$O$4)^2+(U157-'포지션 정의'!$P$4)^2)/3)/'판정 기준'!$B$7),0)</f>
        <v>76</v>
      </c>
      <c r="AE157" s="24" t="n">
        <f aca="false">ROUND(100*(1-SQRT(((S157-'포지션 정의'!$N$5)^2+(T157-'포지션 정의'!$O$5)^2+(U157-'포지션 정의'!$P$5)^2)/3)/'판정 기준'!$B$7),0)</f>
        <v>84</v>
      </c>
      <c r="AF157" s="24" t="n">
        <f aca="false">ROUND(100*(1-SQRT(((S157-'포지션 정의'!$N$6)^2+(T157-'포지션 정의'!$O$6)^2+(U157-'포지션 정의'!$P$6)^2)/3)/'판정 기준'!$B$7),0)</f>
        <v>83</v>
      </c>
      <c r="AG157" s="24" t="n">
        <f aca="false">ROUND(100*(1-SQRT(((S157-'포지션 정의'!$N$7)^2+(T157-'포지션 정의'!$O$7)^2+(U157-'포지션 정의'!$P$7)^2)/3)/'판정 기준'!$B$7),0)</f>
        <v>90</v>
      </c>
      <c r="AH157" s="24" t="n">
        <f aca="false">ROUND(100*(1-SQRT(((S157-'포지션 정의'!$N$8)^2+(T157-'포지션 정의'!$O$8)^2+(U157-'포지션 정의'!$P$8)^2)/3)/'판정 기준'!$B$7),0)</f>
        <v>75</v>
      </c>
      <c r="AI157" s="24" t="n">
        <f aca="false">ROUND(100*(1-SQRT(((S157-'포지션 정의'!$N$9)^2+(T157-'포지션 정의'!$O$9)^2+(U157-'포지션 정의'!$P$9)^2)/3)/'판정 기준'!$B$7),0)</f>
        <v>93</v>
      </c>
      <c r="AJ157" s="23" t="str">
        <f aca="false">IF(G157&gt;='판정 기준'!$B$8,"경기긴장도, ","")&amp;IF(Q157&gt;='판정 기준'!$B$8,"사회적 도움 활용, ","")&amp;IF(K157&gt;='판정 기준'!$B$8,"경기 준비 능력, ","")&amp;IF(N157&gt;='판정 기준'!$B$8,"실수 후 회복력, ","")&amp;IF(P157&gt;='판정 기준'!$B$8,"자기 통제력, ","")</f>
        <v>사회적 도움 활용, 경기 준비 능력, 실수 후 회복력, </v>
      </c>
      <c r="AK157" s="23" t="n">
        <f aca="false">IF(AND(G157&lt;'판정 기준'!$B$8,OR(AJ157&lt;&gt;"",AP157&lt;&gt;"경기긴장도")),G157,0)</f>
        <v>4.7</v>
      </c>
      <c r="AL157" s="23" t="n">
        <f aca="false">IF(AND(Q157&lt;'판정 기준'!$B$8,OR(AJ157&lt;&gt;"",AP157&lt;&gt;"사회적 도움 활용")),Q157,0)</f>
        <v>0</v>
      </c>
      <c r="AM157" s="23" t="n">
        <f aca="false">IF(AND(K157&lt;'판정 기준'!$B$8,OR(AJ157&lt;&gt;"",AP157&lt;&gt;"경기 준비 능력")),K157,0)</f>
        <v>0</v>
      </c>
      <c r="AN157" s="23" t="n">
        <f aca="false">IF(AND(N157&lt;'판정 기준'!$B$8,OR(AJ157&lt;&gt;"",AP157&lt;&gt;"실수 후 회복력")),N157,0)</f>
        <v>0</v>
      </c>
      <c r="AO157" s="23" t="n">
        <f aca="false">IF(AND(P157&lt;'판정 기준'!$B$8,OR(AJ157&lt;&gt;"",AP157&lt;&gt;"자기 통제력")),P157,0)</f>
        <v>4.3</v>
      </c>
      <c r="AP157" s="23" t="str">
        <f aca="false">IF(Q157=MAX(G157,Q157,K157,N157,P157),"사회적 도움 활용",IF(P157=MAX(G157,Q157,K157,N157,P157),"자기 통제력",IF(G157=MAX(G157,Q157,K157,N157,P157),"경기긴장도",IF(K157=MAX(G157,Q157,K157,N157,P157),"경기 준비 능력","실수 후 회복력"))))</f>
        <v>실수 후 회복력</v>
      </c>
    </row>
    <row r="158" customFormat="false" ht="17.15" hidden="false" customHeight="false" outlineLevel="0" collapsed="false">
      <c r="A158" s="13" t="s">
        <v>377</v>
      </c>
      <c r="B158" s="13" t="s">
        <v>187</v>
      </c>
      <c r="C158" s="13" t="s">
        <v>378</v>
      </c>
      <c r="D158" s="14" t="n">
        <v>46142</v>
      </c>
      <c r="E158" s="41" t="s">
        <v>198</v>
      </c>
      <c r="F158" s="42" t="n">
        <v>3.4</v>
      </c>
      <c r="G158" s="42" t="n">
        <v>4.3</v>
      </c>
      <c r="H158" s="42" t="n">
        <v>3.8</v>
      </c>
      <c r="I158" s="42" t="n">
        <v>5.4</v>
      </c>
      <c r="J158" s="42" t="n">
        <v>3.5</v>
      </c>
      <c r="K158" s="42" t="n">
        <v>3.7</v>
      </c>
      <c r="L158" s="42" t="n">
        <v>3.5</v>
      </c>
      <c r="M158" s="42" t="n">
        <v>3.9</v>
      </c>
      <c r="N158" s="42" t="n">
        <v>2.3</v>
      </c>
      <c r="O158" s="42" t="n">
        <v>2.2</v>
      </c>
      <c r="P158" s="42" t="n">
        <v>3.5</v>
      </c>
      <c r="Q158" s="42" t="n">
        <v>3.6</v>
      </c>
      <c r="R158" s="42" t="n">
        <v>5</v>
      </c>
      <c r="S158" s="37" t="n">
        <f aca="false">AVERAGE(G158:J158)</f>
        <v>4.25</v>
      </c>
      <c r="T158" s="37" t="n">
        <f aca="false">AVERAGE(K158:M158)</f>
        <v>3.7</v>
      </c>
      <c r="U158" s="37" t="n">
        <f aca="false">AVERAGE(N158:O158)</f>
        <v>2.25</v>
      </c>
      <c r="V158" s="23" t="str">
        <f aca="false">IF(S158&gt;='판정 기준'!$B$3,"H","L")&amp;IF(T158&gt;='판정 기준'!$B$3,"H","L")&amp;IF(U158&gt;='판정 기준'!$B$3,"H","L")</f>
        <v>LLL</v>
      </c>
      <c r="W158" s="36" t="str">
        <f aca="false">INDEX('포지션 정의'!$A$2:$A$9,MATCH(V158,'포지션 정의'!$D$2:$D$9,0))</f>
        <v>G</v>
      </c>
      <c r="X158" s="36" t="str">
        <f aca="false">INDEX('포지션 정의'!$B$2:$B$9,MATCH(V158,'포지션 정의'!$D$2:$D$9,0))</f>
        <v>스펀지 흡수형</v>
      </c>
      <c r="Y158" s="43" t="str">
        <f aca="false">IF(AJ158="","가장 높은 지표: "&amp;AP158,LEFT(AJ158,LEN(AJ158)-2))</f>
        <v>가장 높은 지표: 경기긴장도</v>
      </c>
      <c r="Z158" s="43" t="str">
        <f aca="false">IF(MAX(AK158:AO158)=0,"심화: "&amp;IF(N158=MIN(G158,Q158,K158,N158,P158),"실수 후 회복력",IF(K158=MIN(G158,Q158,K158,N158,P158),"경기 준비 능력",IF(G158=MIN(G158,Q158,K158,N158,P158),"경기긴장도",IF(P158=MIN(G158,Q158,K158,N158,P158),"자기 통제력","사회적 도움 활용")))),IF(MAX(AK158:AO158)&gt;='판정 기준'!$B$8-'판정 기준'!$B$4,IF(AN158=MAX(AK158:AO158),"실수 후 회복력",IF(AM158=MAX(AK158:AO158),"경기 준비 능력",IF(AK158=MAX(AK158:AO158),"경기긴장도",IF(AO158=MAX(AK158:AO158),"자기 통제력","사회적 도움 활용")))),IF(AN158&gt;0,"실수 후 회복력",IF(AM158&gt;0,"경기 준비 능력",IF(AK158&gt;0,"경기긴장도",IF(AO158&gt;0,"자기 통제력","사회적 도움 활용"))))))</f>
        <v>실수 후 회복력</v>
      </c>
      <c r="AA158" s="43" t="str">
        <f aca="false">INDEX('포지션 정의'!$L$2:$L$9,MATCH(V158,'포지션 정의'!$D$2:$D$9,0))</f>
        <v>디디에 드로그바 · 앙투안 그리즈만 · 모하메드 살라</v>
      </c>
      <c r="AB158" s="24" t="n">
        <f aca="false">ROUND(100*(1-SQRT(((S158-'포지션 정의'!$N$2)^2+(T158-'포지션 정의'!$O$2)^2+(U158-'포지션 정의'!$P$2)^2)/3)/'판정 기준'!$B$7),0)</f>
        <v>75</v>
      </c>
      <c r="AC158" s="24" t="n">
        <f aca="false">ROUND(100*(1-SQRT(((S158-'포지션 정의'!$N$3)^2+(T158-'포지션 정의'!$O$3)^2+(U158-'포지션 정의'!$P$3)^2)/3)/'판정 기준'!$B$7),0)</f>
        <v>73</v>
      </c>
      <c r="AD158" s="24" t="n">
        <f aca="false">ROUND(100*(1-SQRT(((S158-'포지션 정의'!$N$4)^2+(T158-'포지션 정의'!$O$4)^2+(U158-'포지션 정의'!$P$4)^2)/3)/'판정 기준'!$B$7),0)</f>
        <v>79</v>
      </c>
      <c r="AE158" s="24" t="n">
        <f aca="false">ROUND(100*(1-SQRT(((S158-'포지션 정의'!$N$5)^2+(T158-'포지션 정의'!$O$5)^2+(U158-'포지션 정의'!$P$5)^2)/3)/'판정 기준'!$B$7),0)</f>
        <v>64</v>
      </c>
      <c r="AF158" s="24" t="n">
        <f aca="false">ROUND(100*(1-SQRT(((S158-'포지션 정의'!$N$6)^2+(T158-'포지션 정의'!$O$6)^2+(U158-'포지션 정의'!$P$6)^2)/3)/'판정 기준'!$B$7),0)</f>
        <v>66</v>
      </c>
      <c r="AG158" s="24" t="n">
        <f aca="false">ROUND(100*(1-SQRT(((S158-'포지션 정의'!$N$7)^2+(T158-'포지션 정의'!$O$7)^2+(U158-'포지션 정의'!$P$7)^2)/3)/'판정 기준'!$B$7),0)</f>
        <v>61</v>
      </c>
      <c r="AH158" s="24" t="n">
        <f aca="false">ROUND(100*(1-SQRT(((S158-'포지션 정의'!$N$8)^2+(T158-'포지션 정의'!$O$8)^2+(U158-'포지션 정의'!$P$8)^2)/3)/'판정 기준'!$B$7),0)</f>
        <v>81</v>
      </c>
      <c r="AI158" s="24" t="n">
        <f aca="false">ROUND(100*(1-SQRT(((S158-'포지션 정의'!$N$9)^2+(T158-'포지션 정의'!$O$9)^2+(U158-'포지션 정의'!$P$9)^2)/3)/'판정 기준'!$B$7),0)</f>
        <v>60</v>
      </c>
      <c r="AJ158" s="23" t="str">
        <f aca="false">IF(G158&gt;='판정 기준'!$B$8,"경기긴장도, ","")&amp;IF(Q158&gt;='판정 기준'!$B$8,"사회적 도움 활용, ","")&amp;IF(K158&gt;='판정 기준'!$B$8,"경기 준비 능력, ","")&amp;IF(N158&gt;='판정 기준'!$B$8,"실수 후 회복력, ","")&amp;IF(P158&gt;='판정 기준'!$B$8,"자기 통제력, ","")</f>
        <v/>
      </c>
      <c r="AK158" s="23" t="n">
        <f aca="false">IF(AND(G158&lt;'판정 기준'!$B$8,OR(AJ158&lt;&gt;"",AP158&lt;&gt;"경기긴장도")),G158,0)</f>
        <v>0</v>
      </c>
      <c r="AL158" s="23" t="n">
        <f aca="false">IF(AND(Q158&lt;'판정 기준'!$B$8,OR(AJ158&lt;&gt;"",AP158&lt;&gt;"사회적 도움 활용")),Q158,0)</f>
        <v>3.6</v>
      </c>
      <c r="AM158" s="23" t="n">
        <f aca="false">IF(AND(K158&lt;'판정 기준'!$B$8,OR(AJ158&lt;&gt;"",AP158&lt;&gt;"경기 준비 능력")),K158,0)</f>
        <v>3.7</v>
      </c>
      <c r="AN158" s="23" t="n">
        <f aca="false">IF(AND(N158&lt;'판정 기준'!$B$8,OR(AJ158&lt;&gt;"",AP158&lt;&gt;"실수 후 회복력")),N158,0)</f>
        <v>2.3</v>
      </c>
      <c r="AO158" s="23" t="n">
        <f aca="false">IF(AND(P158&lt;'판정 기준'!$B$8,OR(AJ158&lt;&gt;"",AP158&lt;&gt;"자기 통제력")),P158,0)</f>
        <v>3.5</v>
      </c>
      <c r="AP158" s="23" t="str">
        <f aca="false">IF(Q158=MAX(G158,Q158,K158,N158,P158),"사회적 도움 활용",IF(P158=MAX(G158,Q158,K158,N158,P158),"자기 통제력",IF(G158=MAX(G158,Q158,K158,N158,P158),"경기긴장도",IF(K158=MAX(G158,Q158,K158,N158,P158),"경기 준비 능력","실수 후 회복력"))))</f>
        <v>경기긴장도</v>
      </c>
    </row>
    <row r="159" customFormat="false" ht="17.15" hidden="false" customHeight="false" outlineLevel="0" collapsed="false">
      <c r="A159" s="13" t="s">
        <v>379</v>
      </c>
      <c r="B159" s="13" t="s">
        <v>187</v>
      </c>
      <c r="C159" s="13" t="s">
        <v>378</v>
      </c>
      <c r="D159" s="14" t="n">
        <v>46142</v>
      </c>
      <c r="E159" s="41" t="s">
        <v>195</v>
      </c>
      <c r="F159" s="42" t="n">
        <v>3.9</v>
      </c>
      <c r="G159" s="42" t="n">
        <v>3.6</v>
      </c>
      <c r="H159" s="42" t="n">
        <v>4.2</v>
      </c>
      <c r="I159" s="42" t="n">
        <v>3.6</v>
      </c>
      <c r="J159" s="42" t="n">
        <v>3.7</v>
      </c>
      <c r="K159" s="42" t="n">
        <v>4.2</v>
      </c>
      <c r="L159" s="42" t="n">
        <v>4</v>
      </c>
      <c r="M159" s="42" t="n">
        <v>4.4</v>
      </c>
      <c r="N159" s="42" t="n">
        <v>3.7</v>
      </c>
      <c r="O159" s="42" t="n">
        <v>3.5</v>
      </c>
      <c r="P159" s="42" t="n">
        <v>4.3</v>
      </c>
      <c r="Q159" s="42" t="n">
        <v>5</v>
      </c>
      <c r="R159" s="42" t="n">
        <v>5.7</v>
      </c>
      <c r="S159" s="37" t="n">
        <f aca="false">AVERAGE(G159:J159)</f>
        <v>3.775</v>
      </c>
      <c r="T159" s="37" t="n">
        <f aca="false">AVERAGE(K159:M159)</f>
        <v>4.2</v>
      </c>
      <c r="U159" s="37" t="n">
        <f aca="false">AVERAGE(N159:O159)</f>
        <v>3.6</v>
      </c>
      <c r="V159" s="23" t="str">
        <f aca="false">IF(S159&gt;='판정 기준'!$B$3,"H","L")&amp;IF(T159&gt;='판정 기준'!$B$3,"H","L")&amp;IF(U159&gt;='판정 기준'!$B$3,"H","L")</f>
        <v>LLL</v>
      </c>
      <c r="W159" s="36" t="str">
        <f aca="false">INDEX('포지션 정의'!$A$2:$A$9,MATCH(V159,'포지션 정의'!$D$2:$D$9,0))</f>
        <v>G</v>
      </c>
      <c r="X159" s="36" t="str">
        <f aca="false">INDEX('포지션 정의'!$B$2:$B$9,MATCH(V159,'포지션 정의'!$D$2:$D$9,0))</f>
        <v>스펀지 흡수형</v>
      </c>
      <c r="Y159" s="43" t="str">
        <f aca="false">IF(AJ159="","가장 높은 지표: "&amp;AP159,LEFT(AJ159,LEN(AJ159)-2))</f>
        <v>사회적 도움 활용</v>
      </c>
      <c r="Z159" s="43" t="str">
        <f aca="false">IF(MAX(AK159:AO159)=0,"심화: "&amp;IF(N159=MIN(G159,Q159,K159,N159,P159),"실수 후 회복력",IF(K159=MIN(G159,Q159,K159,N159,P159),"경기 준비 능력",IF(G159=MIN(G159,Q159,K159,N159,P159),"경기긴장도",IF(P159=MIN(G159,Q159,K159,N159,P159),"자기 통제력","사회적 도움 활용")))),IF(MAX(AK159:AO159)&gt;='판정 기준'!$B$8-'판정 기준'!$B$4,IF(AN159=MAX(AK159:AO159),"실수 후 회복력",IF(AM159=MAX(AK159:AO159),"경기 준비 능력",IF(AK159=MAX(AK159:AO159),"경기긴장도",IF(AO159=MAX(AK159:AO159),"자기 통제력","사회적 도움 활용")))),IF(AN159&gt;0,"실수 후 회복력",IF(AM159&gt;0,"경기 준비 능력",IF(AK159&gt;0,"경기긴장도",IF(AO159&gt;0,"자기 통제력","사회적 도움 활용"))))))</f>
        <v>실수 후 회복력</v>
      </c>
      <c r="AA159" s="43" t="str">
        <f aca="false">INDEX('포지션 정의'!$L$2:$L$9,MATCH(V159,'포지션 정의'!$D$2:$D$9,0))</f>
        <v>디디에 드로그바 · 앙투안 그리즈만 · 모하메드 살라</v>
      </c>
      <c r="AB159" s="24" t="n">
        <f aca="false">ROUND(100*(1-SQRT(((S159-'포지션 정의'!$N$2)^2+(T159-'포지션 정의'!$O$2)^2+(U159-'포지션 정의'!$P$2)^2)/3)/'판정 기준'!$B$7),0)</f>
        <v>88</v>
      </c>
      <c r="AC159" s="24" t="n">
        <f aca="false">ROUND(100*(1-SQRT(((S159-'포지션 정의'!$N$3)^2+(T159-'포지션 정의'!$O$3)^2+(U159-'포지션 정의'!$P$3)^2)/3)/'판정 기준'!$B$7),0)</f>
        <v>80</v>
      </c>
      <c r="AD159" s="24" t="n">
        <f aca="false">ROUND(100*(1-SQRT(((S159-'포지션 정의'!$N$4)^2+(T159-'포지션 정의'!$O$4)^2+(U159-'포지션 정의'!$P$4)^2)/3)/'판정 기준'!$B$7),0)</f>
        <v>83</v>
      </c>
      <c r="AE159" s="24" t="n">
        <f aca="false">ROUND(100*(1-SQRT(((S159-'포지션 정의'!$N$5)^2+(T159-'포지션 정의'!$O$5)^2+(U159-'포지션 정의'!$P$5)^2)/3)/'판정 기준'!$B$7),0)</f>
        <v>75</v>
      </c>
      <c r="AF159" s="24" t="n">
        <f aca="false">ROUND(100*(1-SQRT(((S159-'포지션 정의'!$N$6)^2+(T159-'포지션 정의'!$O$6)^2+(U159-'포지션 정의'!$P$6)^2)/3)/'판정 기준'!$B$7),0)</f>
        <v>81</v>
      </c>
      <c r="AG159" s="24" t="n">
        <f aca="false">ROUND(100*(1-SQRT(((S159-'포지션 정의'!$N$7)^2+(T159-'포지션 정의'!$O$7)^2+(U159-'포지션 정의'!$P$7)^2)/3)/'판정 기준'!$B$7),0)</f>
        <v>78</v>
      </c>
      <c r="AH159" s="24" t="n">
        <f aca="false">ROUND(100*(1-SQRT(((S159-'포지션 정의'!$N$8)^2+(T159-'포지션 정의'!$O$8)^2+(U159-'포지션 정의'!$P$8)^2)/3)/'판정 기준'!$B$7),0)</f>
        <v>95</v>
      </c>
      <c r="AI159" s="24" t="n">
        <f aca="false">ROUND(100*(1-SQRT(((S159-'포지션 정의'!$N$9)^2+(T159-'포지션 정의'!$O$9)^2+(U159-'포지션 정의'!$P$9)^2)/3)/'판정 기준'!$B$7),0)</f>
        <v>73</v>
      </c>
      <c r="AJ159" s="23" t="str">
        <f aca="false">IF(G159&gt;='판정 기준'!$B$8,"경기긴장도, ","")&amp;IF(Q159&gt;='판정 기준'!$B$8,"사회적 도움 활용, ","")&amp;IF(K159&gt;='판정 기준'!$B$8,"경기 준비 능력, ","")&amp;IF(N159&gt;='판정 기준'!$B$8,"실수 후 회복력, ","")&amp;IF(P159&gt;='판정 기준'!$B$8,"자기 통제력, ","")</f>
        <v>사회적 도움 활용, </v>
      </c>
      <c r="AK159" s="23" t="n">
        <f aca="false">IF(AND(G159&lt;'판정 기준'!$B$8,OR(AJ159&lt;&gt;"",AP159&lt;&gt;"경기긴장도")),G159,0)</f>
        <v>3.6</v>
      </c>
      <c r="AL159" s="23" t="n">
        <f aca="false">IF(AND(Q159&lt;'판정 기준'!$B$8,OR(AJ159&lt;&gt;"",AP159&lt;&gt;"사회적 도움 활용")),Q159,0)</f>
        <v>0</v>
      </c>
      <c r="AM159" s="23" t="n">
        <f aca="false">IF(AND(K159&lt;'판정 기준'!$B$8,OR(AJ159&lt;&gt;"",AP159&lt;&gt;"경기 준비 능력")),K159,0)</f>
        <v>4.2</v>
      </c>
      <c r="AN159" s="23" t="n">
        <f aca="false">IF(AND(N159&lt;'판정 기준'!$B$8,OR(AJ159&lt;&gt;"",AP159&lt;&gt;"실수 후 회복력")),N159,0)</f>
        <v>3.7</v>
      </c>
      <c r="AO159" s="23" t="n">
        <f aca="false">IF(AND(P159&lt;'판정 기준'!$B$8,OR(AJ159&lt;&gt;"",AP159&lt;&gt;"자기 통제력")),P159,0)</f>
        <v>4.3</v>
      </c>
      <c r="AP159" s="23" t="str">
        <f aca="false">IF(Q159=MAX(G159,Q159,K159,N159,P159),"사회적 도움 활용",IF(P159=MAX(G159,Q159,K159,N159,P159),"자기 통제력",IF(G159=MAX(G159,Q159,K159,N159,P159),"경기긴장도",IF(K159=MAX(G159,Q159,K159,N159,P159),"경기 준비 능력","실수 후 회복력"))))</f>
        <v>사회적 도움 활용</v>
      </c>
    </row>
    <row r="160" customFormat="false" ht="17.15" hidden="false" customHeight="false" outlineLevel="0" collapsed="false">
      <c r="A160" s="13" t="s">
        <v>380</v>
      </c>
      <c r="B160" s="13" t="s">
        <v>187</v>
      </c>
      <c r="C160" s="13" t="s">
        <v>378</v>
      </c>
      <c r="D160" s="14" t="n">
        <v>46142</v>
      </c>
      <c r="E160" s="41" t="s">
        <v>198</v>
      </c>
      <c r="F160" s="42" t="n">
        <v>3.9</v>
      </c>
      <c r="G160" s="42" t="n">
        <v>3.9</v>
      </c>
      <c r="H160" s="42" t="n">
        <v>3.7</v>
      </c>
      <c r="I160" s="42" t="n">
        <v>4</v>
      </c>
      <c r="J160" s="42" t="n">
        <v>4.2</v>
      </c>
      <c r="K160" s="42" t="n">
        <v>4.4</v>
      </c>
      <c r="L160" s="42" t="n">
        <v>4.5</v>
      </c>
      <c r="M160" s="42" t="n">
        <v>4.3</v>
      </c>
      <c r="N160" s="42" t="n">
        <v>3.6</v>
      </c>
      <c r="O160" s="42" t="n">
        <v>3.3</v>
      </c>
      <c r="P160" s="42" t="n">
        <v>3.8</v>
      </c>
      <c r="Q160" s="42" t="n">
        <v>5.2</v>
      </c>
      <c r="R160" s="42" t="n">
        <v>4.3</v>
      </c>
      <c r="S160" s="37" t="n">
        <f aca="false">AVERAGE(G160:J160)</f>
        <v>3.95</v>
      </c>
      <c r="T160" s="37" t="n">
        <f aca="false">AVERAGE(K160:M160)</f>
        <v>4.4</v>
      </c>
      <c r="U160" s="37" t="n">
        <f aca="false">AVERAGE(N160:O160)</f>
        <v>3.45</v>
      </c>
      <c r="V160" s="23" t="str">
        <f aca="false">IF(S160&gt;='판정 기준'!$B$3,"H","L")&amp;IF(T160&gt;='판정 기준'!$B$3,"H","L")&amp;IF(U160&gt;='판정 기준'!$B$3,"H","L")</f>
        <v>LLL</v>
      </c>
      <c r="W160" s="36" t="str">
        <f aca="false">INDEX('포지션 정의'!$A$2:$A$9,MATCH(V160,'포지션 정의'!$D$2:$D$9,0))</f>
        <v>G</v>
      </c>
      <c r="X160" s="36" t="str">
        <f aca="false">INDEX('포지션 정의'!$B$2:$B$9,MATCH(V160,'포지션 정의'!$D$2:$D$9,0))</f>
        <v>스펀지 흡수형</v>
      </c>
      <c r="Y160" s="43" t="str">
        <f aca="false">IF(AJ160="","가장 높은 지표: "&amp;AP160,LEFT(AJ160,LEN(AJ160)-2))</f>
        <v>사회적 도움 활용</v>
      </c>
      <c r="Z160" s="43" t="str">
        <f aca="false">IF(MAX(AK160:AO160)=0,"심화: "&amp;IF(N160=MIN(G160,Q160,K160,N160,P160),"실수 후 회복력",IF(K160=MIN(G160,Q160,K160,N160,P160),"경기 준비 능력",IF(G160=MIN(G160,Q160,K160,N160,P160),"경기긴장도",IF(P160=MIN(G160,Q160,K160,N160,P160),"자기 통제력","사회적 도움 활용")))),IF(MAX(AK160:AO160)&gt;='판정 기준'!$B$8-'판정 기준'!$B$4,IF(AN160=MAX(AK160:AO160),"실수 후 회복력",IF(AM160=MAX(AK160:AO160),"경기 준비 능력",IF(AK160=MAX(AK160:AO160),"경기긴장도",IF(AO160=MAX(AK160:AO160),"자기 통제력","사회적 도움 활용")))),IF(AN160&gt;0,"실수 후 회복력",IF(AM160&gt;0,"경기 준비 능력",IF(AK160&gt;0,"경기긴장도",IF(AO160&gt;0,"자기 통제력","사회적 도움 활용"))))))</f>
        <v>실수 후 회복력</v>
      </c>
      <c r="AA160" s="43" t="str">
        <f aca="false">INDEX('포지션 정의'!$L$2:$L$9,MATCH(V160,'포지션 정의'!$D$2:$D$9,0))</f>
        <v>디디에 드로그바 · 앙투안 그리즈만 · 모하메드 살라</v>
      </c>
      <c r="AB160" s="24" t="n">
        <f aca="false">ROUND(100*(1-SQRT(((S160-'포지션 정의'!$N$2)^2+(T160-'포지션 정의'!$O$2)^2+(U160-'포지션 정의'!$P$2)^2)/3)/'판정 기준'!$B$7),0)</f>
        <v>90</v>
      </c>
      <c r="AC160" s="24" t="n">
        <f aca="false">ROUND(100*(1-SQRT(((S160-'포지션 정의'!$N$3)^2+(T160-'포지션 정의'!$O$3)^2+(U160-'포지션 정의'!$P$3)^2)/3)/'판정 기준'!$B$7),0)</f>
        <v>82</v>
      </c>
      <c r="AD160" s="24" t="n">
        <f aca="false">ROUND(100*(1-SQRT(((S160-'포지션 정의'!$N$4)^2+(T160-'포지션 정의'!$O$4)^2+(U160-'포지션 정의'!$P$4)^2)/3)/'판정 기준'!$B$7),0)</f>
        <v>83</v>
      </c>
      <c r="AE160" s="24" t="n">
        <f aca="false">ROUND(100*(1-SQRT(((S160-'포지션 정의'!$N$5)^2+(T160-'포지션 정의'!$O$5)^2+(U160-'포지션 정의'!$P$5)^2)/3)/'판정 기준'!$B$7),0)</f>
        <v>74</v>
      </c>
      <c r="AF160" s="24" t="n">
        <f aca="false">ROUND(100*(1-SQRT(((S160-'포지션 정의'!$N$6)^2+(T160-'포지션 정의'!$O$6)^2+(U160-'포지션 정의'!$P$6)^2)/3)/'판정 기준'!$B$7),0)</f>
        <v>79</v>
      </c>
      <c r="AG160" s="24" t="n">
        <f aca="false">ROUND(100*(1-SQRT(((S160-'포지션 정의'!$N$7)^2+(T160-'포지션 정의'!$O$7)^2+(U160-'포지션 정의'!$P$7)^2)/3)/'판정 기준'!$B$7),0)</f>
        <v>78</v>
      </c>
      <c r="AH160" s="24" t="n">
        <f aca="false">ROUND(100*(1-SQRT(((S160-'포지션 정의'!$N$8)^2+(T160-'포지션 정의'!$O$8)^2+(U160-'포지션 정의'!$P$8)^2)/3)/'판정 기준'!$B$7),0)</f>
        <v>92</v>
      </c>
      <c r="AI160" s="24" t="n">
        <f aca="false">ROUND(100*(1-SQRT(((S160-'포지션 정의'!$N$9)^2+(T160-'포지션 정의'!$O$9)^2+(U160-'포지션 정의'!$P$9)^2)/3)/'판정 기준'!$B$7),0)</f>
        <v>74</v>
      </c>
      <c r="AJ160" s="23" t="str">
        <f aca="false">IF(G160&gt;='판정 기준'!$B$8,"경기긴장도, ","")&amp;IF(Q160&gt;='판정 기준'!$B$8,"사회적 도움 활용, ","")&amp;IF(K160&gt;='판정 기준'!$B$8,"경기 준비 능력, ","")&amp;IF(N160&gt;='판정 기준'!$B$8,"실수 후 회복력, ","")&amp;IF(P160&gt;='판정 기준'!$B$8,"자기 통제력, ","")</f>
        <v>사회적 도움 활용, </v>
      </c>
      <c r="AK160" s="23" t="n">
        <f aca="false">IF(AND(G160&lt;'판정 기준'!$B$8,OR(AJ160&lt;&gt;"",AP160&lt;&gt;"경기긴장도")),G160,0)</f>
        <v>3.9</v>
      </c>
      <c r="AL160" s="23" t="n">
        <f aca="false">IF(AND(Q160&lt;'판정 기준'!$B$8,OR(AJ160&lt;&gt;"",AP160&lt;&gt;"사회적 도움 활용")),Q160,0)</f>
        <v>0</v>
      </c>
      <c r="AM160" s="23" t="n">
        <f aca="false">IF(AND(K160&lt;'판정 기준'!$B$8,OR(AJ160&lt;&gt;"",AP160&lt;&gt;"경기 준비 능력")),K160,0)</f>
        <v>4.4</v>
      </c>
      <c r="AN160" s="23" t="n">
        <f aca="false">IF(AND(N160&lt;'판정 기준'!$B$8,OR(AJ160&lt;&gt;"",AP160&lt;&gt;"실수 후 회복력")),N160,0)</f>
        <v>3.6</v>
      </c>
      <c r="AO160" s="23" t="n">
        <f aca="false">IF(AND(P160&lt;'판정 기준'!$B$8,OR(AJ160&lt;&gt;"",AP160&lt;&gt;"자기 통제력")),P160,0)</f>
        <v>3.8</v>
      </c>
      <c r="AP160" s="23" t="str">
        <f aca="false">IF(Q160=MAX(G160,Q160,K160,N160,P160),"사회적 도움 활용",IF(P160=MAX(G160,Q160,K160,N160,P160),"자기 통제력",IF(G160=MAX(G160,Q160,K160,N160,P160),"경기긴장도",IF(K160=MAX(G160,Q160,K160,N160,P160),"경기 준비 능력","실수 후 회복력"))))</f>
        <v>사회적 도움 활용</v>
      </c>
    </row>
    <row r="161" customFormat="false" ht="17.15" hidden="false" customHeight="false" outlineLevel="0" collapsed="false">
      <c r="A161" s="13" t="s">
        <v>381</v>
      </c>
      <c r="B161" s="13" t="s">
        <v>187</v>
      </c>
      <c r="C161" s="13" t="s">
        <v>378</v>
      </c>
      <c r="D161" s="14" t="n">
        <v>46142</v>
      </c>
      <c r="E161" s="41" t="s">
        <v>195</v>
      </c>
      <c r="F161" s="42" t="n">
        <v>4.8</v>
      </c>
      <c r="G161" s="42" t="n">
        <v>5.1</v>
      </c>
      <c r="H161" s="42" t="n">
        <v>5.3</v>
      </c>
      <c r="I161" s="42" t="n">
        <v>5.2</v>
      </c>
      <c r="J161" s="42" t="n">
        <v>5.2</v>
      </c>
      <c r="K161" s="42" t="n">
        <v>3.9</v>
      </c>
      <c r="L161" s="42" t="n">
        <v>3.7</v>
      </c>
      <c r="M161" s="42" t="n">
        <v>4.1</v>
      </c>
      <c r="N161" s="42" t="n">
        <v>5.1</v>
      </c>
      <c r="O161" s="42" t="n">
        <v>5</v>
      </c>
      <c r="P161" s="42" t="n">
        <v>5</v>
      </c>
      <c r="Q161" s="42" t="n">
        <v>5.8</v>
      </c>
      <c r="R161" s="42" t="n">
        <v>5.3</v>
      </c>
      <c r="S161" s="37" t="n">
        <f aca="false">AVERAGE(G161:J161)</f>
        <v>5.2</v>
      </c>
      <c r="T161" s="37" t="n">
        <f aca="false">AVERAGE(K161:M161)</f>
        <v>3.9</v>
      </c>
      <c r="U161" s="37" t="n">
        <f aca="false">AVERAGE(N161:O161)</f>
        <v>5.05</v>
      </c>
      <c r="V161" s="23" t="str">
        <f aca="false">IF(S161&gt;='판정 기준'!$B$3,"H","L")&amp;IF(T161&gt;='판정 기준'!$B$3,"H","L")&amp;IF(U161&gt;='판정 기준'!$B$3,"H","L")</f>
        <v>HLH</v>
      </c>
      <c r="W161" s="36" t="str">
        <f aca="false">INDEX('포지션 정의'!$A$2:$A$9,MATCH(V161,'포지션 정의'!$D$2:$D$9,0))</f>
        <v>D</v>
      </c>
      <c r="X161" s="36" t="str">
        <f aca="false">INDEX('포지션 정의'!$B$2:$B$9,MATCH(V161,'포지션 정의'!$D$2:$D$9,0))</f>
        <v>실전 승부사형</v>
      </c>
      <c r="Y161" s="43" t="str">
        <f aca="false">IF(AJ161="","가장 높은 지표: "&amp;AP161,LEFT(AJ161,LEN(AJ161)-2))</f>
        <v>경기긴장도, 사회적 도움 활용, 실수 후 회복력, 자기 통제력</v>
      </c>
      <c r="Z161" s="43" t="str">
        <f aca="false">IF(MAX(AK161:AO161)=0,"심화: "&amp;IF(N161=MIN(G161,Q161,K161,N161,P161),"실수 후 회복력",IF(K161=MIN(G161,Q161,K161,N161,P161),"경기 준비 능력",IF(G161=MIN(G161,Q161,K161,N161,P161),"경기긴장도",IF(P161=MIN(G161,Q161,K161,N161,P161),"자기 통제력","사회적 도움 활용")))),IF(MAX(AK161:AO161)&gt;='판정 기준'!$B$8-'판정 기준'!$B$4,IF(AN161=MAX(AK161:AO161),"실수 후 회복력",IF(AM161=MAX(AK161:AO161),"경기 준비 능력",IF(AK161=MAX(AK161:AO161),"경기긴장도",IF(AO161=MAX(AK161:AO161),"자기 통제력","사회적 도움 활용")))),IF(AN161&gt;0,"실수 후 회복력",IF(AM161&gt;0,"경기 준비 능력",IF(AK161&gt;0,"경기긴장도",IF(AO161&gt;0,"자기 통제력","사회적 도움 활용"))))))</f>
        <v>경기 준비 능력</v>
      </c>
      <c r="AA161" s="43" t="str">
        <f aca="false">INDEX('포지션 정의'!$L$2:$L$9,MATCH(V161,'포지션 정의'!$D$2:$D$9,0))</f>
        <v>즐라탄 이브라히모비치 · 호나우지뉴 · 디에고 마라도나</v>
      </c>
      <c r="AB161" s="24" t="n">
        <f aca="false">ROUND(100*(1-SQRT(((S161-'포지션 정의'!$N$2)^2+(T161-'포지션 정의'!$O$2)^2+(U161-'포지션 정의'!$P$2)^2)/3)/'판정 기준'!$B$7),0)</f>
        <v>74</v>
      </c>
      <c r="AC161" s="24" t="n">
        <f aca="false">ROUND(100*(1-SQRT(((S161-'포지션 정의'!$N$3)^2+(T161-'포지션 정의'!$O$3)^2+(U161-'포지션 정의'!$P$3)^2)/3)/'판정 기준'!$B$7),0)</f>
        <v>79</v>
      </c>
      <c r="AD161" s="24" t="n">
        <f aca="false">ROUND(100*(1-SQRT(((S161-'포지션 정의'!$N$4)^2+(T161-'포지션 정의'!$O$4)^2+(U161-'포지션 정의'!$P$4)^2)/3)/'판정 기준'!$B$7),0)</f>
        <v>86</v>
      </c>
      <c r="AE161" s="24" t="n">
        <f aca="false">ROUND(100*(1-SQRT(((S161-'포지션 정의'!$N$5)^2+(T161-'포지션 정의'!$O$5)^2+(U161-'포지션 정의'!$P$5)^2)/3)/'판정 기준'!$B$7),0)</f>
        <v>98</v>
      </c>
      <c r="AF161" s="24" t="n">
        <f aca="false">ROUND(100*(1-SQRT(((S161-'포지션 정의'!$N$6)^2+(T161-'포지션 정의'!$O$6)^2+(U161-'포지션 정의'!$P$6)^2)/3)/'판정 기준'!$B$7),0)</f>
        <v>84</v>
      </c>
      <c r="AG161" s="24" t="n">
        <f aca="false">ROUND(100*(1-SQRT(((S161-'포지션 정의'!$N$7)^2+(T161-'포지션 정의'!$O$7)^2+(U161-'포지션 정의'!$P$7)^2)/3)/'판정 기준'!$B$7),0)</f>
        <v>78</v>
      </c>
      <c r="AH161" s="24" t="n">
        <f aca="false">ROUND(100*(1-SQRT(((S161-'포지션 정의'!$N$8)^2+(T161-'포지션 정의'!$O$8)^2+(U161-'포지션 정의'!$P$8)^2)/3)/'판정 기준'!$B$7),0)</f>
        <v>78</v>
      </c>
      <c r="AI161" s="24" t="n">
        <f aca="false">ROUND(100*(1-SQRT(((S161-'포지션 정의'!$N$9)^2+(T161-'포지션 정의'!$O$9)^2+(U161-'포지션 정의'!$P$9)^2)/3)/'판정 기준'!$B$7),0)</f>
        <v>85</v>
      </c>
      <c r="AJ161" s="23" t="str">
        <f aca="false">IF(G161&gt;='판정 기준'!$B$8,"경기긴장도, ","")&amp;IF(Q161&gt;='판정 기준'!$B$8,"사회적 도움 활용, ","")&amp;IF(K161&gt;='판정 기준'!$B$8,"경기 준비 능력, ","")&amp;IF(N161&gt;='판정 기준'!$B$8,"실수 후 회복력, ","")&amp;IF(P161&gt;='판정 기준'!$B$8,"자기 통제력, ","")</f>
        <v>경기긴장도, 사회적 도움 활용, 실수 후 회복력, 자기 통제력, </v>
      </c>
      <c r="AK161" s="23" t="n">
        <f aca="false">IF(AND(G161&lt;'판정 기준'!$B$8,OR(AJ161&lt;&gt;"",AP161&lt;&gt;"경기긴장도")),G161,0)</f>
        <v>0</v>
      </c>
      <c r="AL161" s="23" t="n">
        <f aca="false">IF(AND(Q161&lt;'판정 기준'!$B$8,OR(AJ161&lt;&gt;"",AP161&lt;&gt;"사회적 도움 활용")),Q161,0)</f>
        <v>0</v>
      </c>
      <c r="AM161" s="23" t="n">
        <f aca="false">IF(AND(K161&lt;'판정 기준'!$B$8,OR(AJ161&lt;&gt;"",AP161&lt;&gt;"경기 준비 능력")),K161,0)</f>
        <v>3.9</v>
      </c>
      <c r="AN161" s="23" t="n">
        <f aca="false">IF(AND(N161&lt;'판정 기준'!$B$8,OR(AJ161&lt;&gt;"",AP161&lt;&gt;"실수 후 회복력")),N161,0)</f>
        <v>0</v>
      </c>
      <c r="AO161" s="23" t="n">
        <f aca="false">IF(AND(P161&lt;'판정 기준'!$B$8,OR(AJ161&lt;&gt;"",AP161&lt;&gt;"자기 통제력")),P161,0)</f>
        <v>0</v>
      </c>
      <c r="AP161" s="23" t="str">
        <f aca="false">IF(Q161=MAX(G161,Q161,K161,N161,P161),"사회적 도움 활용",IF(P161=MAX(G161,Q161,K161,N161,P161),"자기 통제력",IF(G161=MAX(G161,Q161,K161,N161,P161),"경기긴장도",IF(K161=MAX(G161,Q161,K161,N161,P161),"경기 준비 능력","실수 후 회복력"))))</f>
        <v>사회적 도움 활용</v>
      </c>
    </row>
    <row r="162" customFormat="false" ht="17.15" hidden="false" customHeight="false" outlineLevel="0" collapsed="false">
      <c r="A162" s="13" t="s">
        <v>382</v>
      </c>
      <c r="B162" s="13" t="s">
        <v>187</v>
      </c>
      <c r="C162" s="13" t="s">
        <v>378</v>
      </c>
      <c r="D162" s="14" t="n">
        <v>46142</v>
      </c>
      <c r="E162" s="41" t="s">
        <v>193</v>
      </c>
      <c r="F162" s="42" t="n">
        <v>4.8</v>
      </c>
      <c r="G162" s="42" t="n">
        <v>5.2</v>
      </c>
      <c r="H162" s="42" t="n">
        <v>5.3</v>
      </c>
      <c r="I162" s="42" t="n">
        <v>5.4</v>
      </c>
      <c r="J162" s="42" t="n">
        <v>5</v>
      </c>
      <c r="K162" s="42" t="n">
        <v>5.2</v>
      </c>
      <c r="L162" s="42" t="n">
        <v>5.3</v>
      </c>
      <c r="M162" s="42" t="n">
        <v>5.1</v>
      </c>
      <c r="N162" s="42" t="n">
        <v>3.9</v>
      </c>
      <c r="O162" s="42" t="n">
        <v>3.8</v>
      </c>
      <c r="P162" s="42" t="n">
        <v>5.2</v>
      </c>
      <c r="Q162" s="42" t="n">
        <v>5.4</v>
      </c>
      <c r="R162" s="42" t="n">
        <v>6</v>
      </c>
      <c r="S162" s="37" t="n">
        <f aca="false">AVERAGE(G162:J162)</f>
        <v>5.225</v>
      </c>
      <c r="T162" s="37" t="n">
        <f aca="false">AVERAGE(K162:M162)</f>
        <v>5.2</v>
      </c>
      <c r="U162" s="37" t="n">
        <f aca="false">AVERAGE(N162:O162)</f>
        <v>3.85</v>
      </c>
      <c r="V162" s="23" t="str">
        <f aca="false">IF(S162&gt;='판정 기준'!$B$3,"H","L")&amp;IF(T162&gt;='판정 기준'!$B$3,"H","L")&amp;IF(U162&gt;='판정 기준'!$B$3,"H","L")</f>
        <v>HHL</v>
      </c>
      <c r="W162" s="36" t="str">
        <f aca="false">INDEX('포지션 정의'!$A$2:$A$9,MATCH(V162,'포지션 정의'!$D$2:$D$9,0))</f>
        <v>B</v>
      </c>
      <c r="X162" s="36" t="str">
        <f aca="false">INDEX('포지션 정의'!$B$2:$B$9,MATCH(V162,'포지션 정의'!$D$2:$D$9,0))</f>
        <v>책임감 설계자형</v>
      </c>
      <c r="Y162" s="43" t="str">
        <f aca="false">IF(AJ162="","가장 높은 지표: "&amp;AP162,LEFT(AJ162,LEN(AJ162)-2))</f>
        <v>경기긴장도, 사회적 도움 활용, 경기 준비 능력, 자기 통제력</v>
      </c>
      <c r="Z162" s="43" t="str">
        <f aca="false">IF(MAX(AK162:AO162)=0,"심화: "&amp;IF(N162=MIN(G162,Q162,K162,N162,P162),"실수 후 회복력",IF(K162=MIN(G162,Q162,K162,N162,P162),"경기 준비 능력",IF(G162=MIN(G162,Q162,K162,N162,P162),"경기긴장도",IF(P162=MIN(G162,Q162,K162,N162,P162),"자기 통제력","사회적 도움 활용")))),IF(MAX(AK162:AO162)&gt;='판정 기준'!$B$8-'판정 기준'!$B$4,IF(AN162=MAX(AK162:AO162),"실수 후 회복력",IF(AM162=MAX(AK162:AO162),"경기 준비 능력",IF(AK162=MAX(AK162:AO162),"경기긴장도",IF(AO162=MAX(AK162:AO162),"자기 통제력","사회적 도움 활용")))),IF(AN162&gt;0,"실수 후 회복력",IF(AM162&gt;0,"경기 준비 능력",IF(AK162&gt;0,"경기긴장도",IF(AO162&gt;0,"자기 통제력","사회적 도움 활용"))))))</f>
        <v>실수 후 회복력</v>
      </c>
      <c r="AA162" s="43" t="str">
        <f aca="false">INDEX('포지션 정의'!$L$2:$L$9,MATCH(V162,'포지션 정의'!$D$2:$D$9,0))</f>
        <v>해리 케인 · 토니 크로스 · 필립 람</v>
      </c>
      <c r="AB162" s="24" t="n">
        <f aca="false">ROUND(100*(1-SQRT(((S162-'포지션 정의'!$N$2)^2+(T162-'포지션 정의'!$O$2)^2+(U162-'포지션 정의'!$P$2)^2)/3)/'판정 기준'!$B$7),0)</f>
        <v>84</v>
      </c>
      <c r="AC162" s="24" t="n">
        <f aca="false">ROUND(100*(1-SQRT(((S162-'포지션 정의'!$N$3)^2+(T162-'포지션 정의'!$O$3)^2+(U162-'포지션 정의'!$P$3)^2)/3)/'판정 기준'!$B$7),0)</f>
        <v>99</v>
      </c>
      <c r="AD162" s="24" t="n">
        <f aca="false">ROUND(100*(1-SQRT(((S162-'포지션 정의'!$N$4)^2+(T162-'포지션 정의'!$O$4)^2+(U162-'포지션 정의'!$P$4)^2)/3)/'판정 기준'!$B$7),0)</f>
        <v>84</v>
      </c>
      <c r="AE162" s="24" t="n">
        <f aca="false">ROUND(100*(1-SQRT(((S162-'포지션 정의'!$N$5)^2+(T162-'포지션 정의'!$O$5)^2+(U162-'포지션 정의'!$P$5)^2)/3)/'판정 기준'!$B$7),0)</f>
        <v>78</v>
      </c>
      <c r="AF162" s="24" t="n">
        <f aca="false">ROUND(100*(1-SQRT(((S162-'포지션 정의'!$N$6)^2+(T162-'포지션 정의'!$O$6)^2+(U162-'포지션 정의'!$P$6)^2)/3)/'판정 기준'!$B$7),0)</f>
        <v>72</v>
      </c>
      <c r="AG162" s="24" t="n">
        <f aca="false">ROUND(100*(1-SQRT(((S162-'포지션 정의'!$N$7)^2+(T162-'포지션 정의'!$O$7)^2+(U162-'포지션 정의'!$P$7)^2)/3)/'판정 기준'!$B$7),0)</f>
        <v>77</v>
      </c>
      <c r="AH162" s="24" t="n">
        <f aca="false">ROUND(100*(1-SQRT(((S162-'포지션 정의'!$N$8)^2+(T162-'포지션 정의'!$O$8)^2+(U162-'포지션 정의'!$P$8)^2)/3)/'판정 기준'!$B$7),0)</f>
        <v>77</v>
      </c>
      <c r="AI162" s="24" t="n">
        <f aca="false">ROUND(100*(1-SQRT(((S162-'포지션 정의'!$N$9)^2+(T162-'포지션 정의'!$O$9)^2+(U162-'포지션 정의'!$P$9)^2)/3)/'판정 기준'!$B$7),0)</f>
        <v>84</v>
      </c>
      <c r="AJ162" s="23" t="str">
        <f aca="false">IF(G162&gt;='판정 기준'!$B$8,"경기긴장도, ","")&amp;IF(Q162&gt;='판정 기준'!$B$8,"사회적 도움 활용, ","")&amp;IF(K162&gt;='판정 기준'!$B$8,"경기 준비 능력, ","")&amp;IF(N162&gt;='판정 기준'!$B$8,"실수 후 회복력, ","")&amp;IF(P162&gt;='판정 기준'!$B$8,"자기 통제력, ","")</f>
        <v>경기긴장도, 사회적 도움 활용, 경기 준비 능력, 자기 통제력, </v>
      </c>
      <c r="AK162" s="23" t="n">
        <f aca="false">IF(AND(G162&lt;'판정 기준'!$B$8,OR(AJ162&lt;&gt;"",AP162&lt;&gt;"경기긴장도")),G162,0)</f>
        <v>0</v>
      </c>
      <c r="AL162" s="23" t="n">
        <f aca="false">IF(AND(Q162&lt;'판정 기준'!$B$8,OR(AJ162&lt;&gt;"",AP162&lt;&gt;"사회적 도움 활용")),Q162,0)</f>
        <v>0</v>
      </c>
      <c r="AM162" s="23" t="n">
        <f aca="false">IF(AND(K162&lt;'판정 기준'!$B$8,OR(AJ162&lt;&gt;"",AP162&lt;&gt;"경기 준비 능력")),K162,0)</f>
        <v>0</v>
      </c>
      <c r="AN162" s="23" t="n">
        <f aca="false">IF(AND(N162&lt;'판정 기준'!$B$8,OR(AJ162&lt;&gt;"",AP162&lt;&gt;"실수 후 회복력")),N162,0)</f>
        <v>3.9</v>
      </c>
      <c r="AO162" s="23" t="n">
        <f aca="false">IF(AND(P162&lt;'판정 기준'!$B$8,OR(AJ162&lt;&gt;"",AP162&lt;&gt;"자기 통제력")),P162,0)</f>
        <v>0</v>
      </c>
      <c r="AP162" s="23" t="str">
        <f aca="false">IF(Q162=MAX(G162,Q162,K162,N162,P162),"사회적 도움 활용",IF(P162=MAX(G162,Q162,K162,N162,P162),"자기 통제력",IF(G162=MAX(G162,Q162,K162,N162,P162),"경기긴장도",IF(K162=MAX(G162,Q162,K162,N162,P162),"경기 준비 능력","실수 후 회복력"))))</f>
        <v>사회적 도움 활용</v>
      </c>
    </row>
    <row r="163" customFormat="false" ht="17.15" hidden="false" customHeight="false" outlineLevel="0" collapsed="false">
      <c r="A163" s="13" t="s">
        <v>383</v>
      </c>
      <c r="B163" s="13" t="s">
        <v>187</v>
      </c>
      <c r="C163" s="13" t="s">
        <v>378</v>
      </c>
      <c r="D163" s="14" t="n">
        <v>46142</v>
      </c>
      <c r="E163" s="41" t="s">
        <v>193</v>
      </c>
      <c r="F163" s="42" t="n">
        <v>4.3</v>
      </c>
      <c r="G163" s="42" t="n">
        <v>4.1</v>
      </c>
      <c r="H163" s="42" t="n">
        <v>4</v>
      </c>
      <c r="I163" s="42" t="n">
        <v>4.6</v>
      </c>
      <c r="J163" s="42" t="n">
        <v>3.7</v>
      </c>
      <c r="K163" s="42" t="n">
        <v>4.1</v>
      </c>
      <c r="L163" s="42" t="n">
        <v>4</v>
      </c>
      <c r="M163" s="42" t="n">
        <v>4.1</v>
      </c>
      <c r="N163" s="42" t="n">
        <v>5.1</v>
      </c>
      <c r="O163" s="42" t="n">
        <v>5</v>
      </c>
      <c r="P163" s="42" t="n">
        <v>3.8</v>
      </c>
      <c r="Q163" s="42" t="n">
        <v>5</v>
      </c>
      <c r="R163" s="42" t="n">
        <v>5</v>
      </c>
      <c r="S163" s="37" t="n">
        <f aca="false">AVERAGE(G163:J163)</f>
        <v>4.1</v>
      </c>
      <c r="T163" s="37" t="n">
        <f aca="false">AVERAGE(K163:M163)</f>
        <v>4.06666666666667</v>
      </c>
      <c r="U163" s="37" t="n">
        <f aca="false">AVERAGE(N163:O163)</f>
        <v>5.05</v>
      </c>
      <c r="V163" s="23" t="str">
        <f aca="false">IF(S163&gt;='판정 기준'!$B$3,"H","L")&amp;IF(T163&gt;='판정 기준'!$B$3,"H","L")&amp;IF(U163&gt;='판정 기준'!$B$3,"H","L")</f>
        <v>LLH</v>
      </c>
      <c r="W163" s="36" t="str">
        <f aca="false">INDEX('포지션 정의'!$A$2:$A$9,MATCH(V163,'포지션 정의'!$D$2:$D$9,0))</f>
        <v>E</v>
      </c>
      <c r="X163" s="36" t="str">
        <f aca="false">INDEX('포지션 정의'!$B$2:$B$9,MATCH(V163,'포지션 정의'!$D$2:$D$9,0))</f>
        <v>오뚝이 회복형</v>
      </c>
      <c r="Y163" s="43" t="str">
        <f aca="false">IF(AJ163="","가장 높은 지표: "&amp;AP163,LEFT(AJ163,LEN(AJ163)-2))</f>
        <v>사회적 도움 활용, 실수 후 회복력</v>
      </c>
      <c r="Z163" s="43" t="str">
        <f aca="false">IF(MAX(AK163:AO163)=0,"심화: "&amp;IF(N163=MIN(G163,Q163,K163,N163,P163),"실수 후 회복력",IF(K163=MIN(G163,Q163,K163,N163,P163),"경기 준비 능력",IF(G163=MIN(G163,Q163,K163,N163,P163),"경기긴장도",IF(P163=MIN(G163,Q163,K163,N163,P163),"자기 통제력","사회적 도움 활용")))),IF(MAX(AK163:AO163)&gt;='판정 기준'!$B$8-'판정 기준'!$B$4,IF(AN163=MAX(AK163:AO163),"실수 후 회복력",IF(AM163=MAX(AK163:AO163),"경기 준비 능력",IF(AK163=MAX(AK163:AO163),"경기긴장도",IF(AO163=MAX(AK163:AO163),"자기 통제력","사회적 도움 활용")))),IF(AN163&gt;0,"실수 후 회복력",IF(AM163&gt;0,"경기 준비 능력",IF(AK163&gt;0,"경기긴장도",IF(AO163&gt;0,"자기 통제력","사회적 도움 활용"))))))</f>
        <v>경기 준비 능력</v>
      </c>
      <c r="AA163" s="43" t="str">
        <f aca="false">INDEX('포지션 정의'!$L$2:$L$9,MATCH(V163,'포지션 정의'!$D$2:$D$9,0))</f>
        <v>올리비에 지루 · 디에고 포를란 · 라다멜 팔카오</v>
      </c>
      <c r="AB163" s="24" t="n">
        <f aca="false">ROUND(100*(1-SQRT(((S163-'포지션 정의'!$N$2)^2+(T163-'포지션 정의'!$O$2)^2+(U163-'포지션 정의'!$P$2)^2)/3)/'판정 기준'!$B$7),0)</f>
        <v>80</v>
      </c>
      <c r="AC163" s="24" t="n">
        <f aca="false">ROUND(100*(1-SQRT(((S163-'포지션 정의'!$N$3)^2+(T163-'포지션 정의'!$O$3)^2+(U163-'포지션 정의'!$P$3)^2)/3)/'판정 기준'!$B$7),0)</f>
        <v>77</v>
      </c>
      <c r="AD163" s="24" t="n">
        <f aca="false">ROUND(100*(1-SQRT(((S163-'포지션 정의'!$N$4)^2+(T163-'포지션 정의'!$O$4)^2+(U163-'포지션 정의'!$P$4)^2)/3)/'판정 기준'!$B$7),0)</f>
        <v>81</v>
      </c>
      <c r="AE163" s="24" t="n">
        <f aca="false">ROUND(100*(1-SQRT(((S163-'포지션 정의'!$N$5)^2+(T163-'포지션 정의'!$O$5)^2+(U163-'포지션 정의'!$P$5)^2)/3)/'판정 기준'!$B$7),0)</f>
        <v>87</v>
      </c>
      <c r="AF163" s="24" t="n">
        <f aca="false">ROUND(100*(1-SQRT(((S163-'포지션 정의'!$N$6)^2+(T163-'포지션 정의'!$O$6)^2+(U163-'포지션 정의'!$P$6)^2)/3)/'판정 기준'!$B$7),0)</f>
        <v>95</v>
      </c>
      <c r="AG163" s="24" t="n">
        <f aca="false">ROUND(100*(1-SQRT(((S163-'포지션 정의'!$N$7)^2+(T163-'포지션 정의'!$O$7)^2+(U163-'포지션 정의'!$P$7)^2)/3)/'판정 기준'!$B$7),0)</f>
        <v>86</v>
      </c>
      <c r="AH163" s="24" t="n">
        <f aca="false">ROUND(100*(1-SQRT(((S163-'포지션 정의'!$N$8)^2+(T163-'포지션 정의'!$O$8)^2+(U163-'포지션 정의'!$P$8)^2)/3)/'판정 기준'!$B$7),0)</f>
        <v>85</v>
      </c>
      <c r="AI163" s="24" t="n">
        <f aca="false">ROUND(100*(1-SQRT(((S163-'포지션 정의'!$N$9)^2+(T163-'포지션 정의'!$O$9)^2+(U163-'포지션 정의'!$P$9)^2)/3)/'판정 기준'!$B$7),0)</f>
        <v>82</v>
      </c>
      <c r="AJ163" s="23" t="str">
        <f aca="false">IF(G163&gt;='판정 기준'!$B$8,"경기긴장도, ","")&amp;IF(Q163&gt;='판정 기준'!$B$8,"사회적 도움 활용, ","")&amp;IF(K163&gt;='판정 기준'!$B$8,"경기 준비 능력, ","")&amp;IF(N163&gt;='판정 기준'!$B$8,"실수 후 회복력, ","")&amp;IF(P163&gt;='판정 기준'!$B$8,"자기 통제력, ","")</f>
        <v>사회적 도움 활용, 실수 후 회복력, </v>
      </c>
      <c r="AK163" s="23" t="n">
        <f aca="false">IF(AND(G163&lt;'판정 기준'!$B$8,OR(AJ163&lt;&gt;"",AP163&lt;&gt;"경기긴장도")),G163,0)</f>
        <v>4.1</v>
      </c>
      <c r="AL163" s="23" t="n">
        <f aca="false">IF(AND(Q163&lt;'판정 기준'!$B$8,OR(AJ163&lt;&gt;"",AP163&lt;&gt;"사회적 도움 활용")),Q163,0)</f>
        <v>0</v>
      </c>
      <c r="AM163" s="23" t="n">
        <f aca="false">IF(AND(K163&lt;'판정 기준'!$B$8,OR(AJ163&lt;&gt;"",AP163&lt;&gt;"경기 준비 능력")),K163,0)</f>
        <v>4.1</v>
      </c>
      <c r="AN163" s="23" t="n">
        <f aca="false">IF(AND(N163&lt;'판정 기준'!$B$8,OR(AJ163&lt;&gt;"",AP163&lt;&gt;"실수 후 회복력")),N163,0)</f>
        <v>0</v>
      </c>
      <c r="AO163" s="23" t="n">
        <f aca="false">IF(AND(P163&lt;'판정 기준'!$B$8,OR(AJ163&lt;&gt;"",AP163&lt;&gt;"자기 통제력")),P163,0)</f>
        <v>3.8</v>
      </c>
      <c r="AP163" s="23" t="str">
        <f aca="false">IF(Q163=MAX(G163,Q163,K163,N163,P163),"사회적 도움 활용",IF(P163=MAX(G163,Q163,K163,N163,P163),"자기 통제력",IF(G163=MAX(G163,Q163,K163,N163,P163),"경기긴장도",IF(K163=MAX(G163,Q163,K163,N163,P163),"경기 준비 능력","실수 후 회복력"))))</f>
        <v>실수 후 회복력</v>
      </c>
    </row>
    <row r="164" customFormat="false" ht="17.15" hidden="false" customHeight="false" outlineLevel="0" collapsed="false">
      <c r="A164" s="13" t="s">
        <v>384</v>
      </c>
      <c r="B164" s="13" t="s">
        <v>187</v>
      </c>
      <c r="C164" s="13" t="s">
        <v>378</v>
      </c>
      <c r="D164" s="14" t="n">
        <v>46142</v>
      </c>
      <c r="E164" s="41" t="s">
        <v>193</v>
      </c>
      <c r="F164" s="42" t="n">
        <v>5.6</v>
      </c>
      <c r="G164" s="42" t="n">
        <v>5.4</v>
      </c>
      <c r="H164" s="42" t="n">
        <v>5</v>
      </c>
      <c r="I164" s="42" t="n">
        <v>6</v>
      </c>
      <c r="J164" s="42" t="n">
        <v>5.5</v>
      </c>
      <c r="K164" s="42" t="n">
        <v>5.4</v>
      </c>
      <c r="L164" s="42" t="n">
        <v>5</v>
      </c>
      <c r="M164" s="42" t="n">
        <v>5.7</v>
      </c>
      <c r="N164" s="42" t="n">
        <v>6</v>
      </c>
      <c r="O164" s="42" t="n">
        <v>5.3</v>
      </c>
      <c r="P164" s="42" t="n">
        <v>5.5</v>
      </c>
      <c r="Q164" s="42" t="n">
        <v>6</v>
      </c>
      <c r="R164" s="42" t="n">
        <v>4</v>
      </c>
      <c r="S164" s="37" t="n">
        <f aca="false">AVERAGE(G164:J164)</f>
        <v>5.475</v>
      </c>
      <c r="T164" s="37" t="n">
        <f aca="false">AVERAGE(K164:M164)</f>
        <v>5.36666666666667</v>
      </c>
      <c r="U164" s="37" t="n">
        <f aca="false">AVERAGE(N164:O164)</f>
        <v>5.65</v>
      </c>
      <c r="V164" s="23" t="str">
        <f aca="false">IF(S164&gt;='판정 기준'!$B$3,"H","L")&amp;IF(T164&gt;='판정 기준'!$B$3,"H","L")&amp;IF(U164&gt;='판정 기준'!$B$3,"H","L")</f>
        <v>HHH</v>
      </c>
      <c r="W164" s="36" t="str">
        <f aca="false">INDEX('포지션 정의'!$A$2:$A$9,MATCH(V164,'포지션 정의'!$D$2:$D$9,0))</f>
        <v>H</v>
      </c>
      <c r="X164" s="36" t="str">
        <f aca="false">INDEX('포지션 정의'!$B$2:$B$9,MATCH(V164,'포지션 정의'!$D$2:$D$9,0))</f>
        <v>올라운드 밸런스형</v>
      </c>
      <c r="Y164" s="43" t="str">
        <f aca="false">IF(AJ164="","가장 높은 지표: "&amp;AP164,LEFT(AJ164,LEN(AJ164)-2))</f>
        <v>경기긴장도, 사회적 도움 활용, 경기 준비 능력, 실수 후 회복력, 자기 통제력</v>
      </c>
      <c r="Z164" s="43" t="str">
        <f aca="false">IF(MAX(AK164:AO164)=0,"심화: "&amp;IF(N164=MIN(G164,Q164,K164,N164,P164),"실수 후 회복력",IF(K164=MIN(G164,Q164,K164,N164,P164),"경기 준비 능력",IF(G164=MIN(G164,Q164,K164,N164,P164),"경기긴장도",IF(P164=MIN(G164,Q164,K164,N164,P164),"자기 통제력","사회적 도움 활용")))),IF(MAX(AK164:AO164)&gt;='판정 기준'!$B$8-'판정 기준'!$B$4,IF(AN164=MAX(AK164:AO164),"실수 후 회복력",IF(AM164=MAX(AK164:AO164),"경기 준비 능력",IF(AK164=MAX(AK164:AO164),"경기긴장도",IF(AO164=MAX(AK164:AO164),"자기 통제력","사회적 도움 활용")))),IF(AN164&gt;0,"실수 후 회복력",IF(AM164&gt;0,"경기 준비 능력",IF(AK164&gt;0,"경기긴장도",IF(AO164&gt;0,"자기 통제력","사회적 도움 활용"))))))</f>
        <v>심화: 경기 준비 능력</v>
      </c>
      <c r="AA164" s="43" t="str">
        <f aca="false">INDEX('포지션 정의'!$L$2:$L$9,MATCH(V164,'포지션 정의'!$D$2:$D$9,0))</f>
        <v>크리스티아누 호날두 · 루카 모드리치 · 버질 반 다이크</v>
      </c>
      <c r="AB164" s="24" t="n">
        <f aca="false">ROUND(100*(1-SQRT(((S164-'포지션 정의'!$N$2)^2+(T164-'포지션 정의'!$O$2)^2+(U164-'포지션 정의'!$P$2)^2)/3)/'판정 기준'!$B$7),0)</f>
        <v>71</v>
      </c>
      <c r="AC164" s="24" t="n">
        <f aca="false">ROUND(100*(1-SQRT(((S164-'포지션 정의'!$N$3)^2+(T164-'포지션 정의'!$O$3)^2+(U164-'포지션 정의'!$P$3)^2)/3)/'판정 기준'!$B$7),0)</f>
        <v>78</v>
      </c>
      <c r="AD164" s="24" t="n">
        <f aca="false">ROUND(100*(1-SQRT(((S164-'포지션 정의'!$N$4)^2+(T164-'포지션 정의'!$O$4)^2+(U164-'포지션 정의'!$P$4)^2)/3)/'판정 기준'!$B$7),0)</f>
        <v>72</v>
      </c>
      <c r="AE164" s="24" t="n">
        <f aca="false">ROUND(100*(1-SQRT(((S164-'포지션 정의'!$N$5)^2+(T164-'포지션 정의'!$O$5)^2+(U164-'포지션 정의'!$P$5)^2)/3)/'판정 기준'!$B$7),0)</f>
        <v>81</v>
      </c>
      <c r="AF164" s="24" t="n">
        <f aca="false">ROUND(100*(1-SQRT(((S164-'포지션 정의'!$N$6)^2+(T164-'포지션 정의'!$O$6)^2+(U164-'포지션 정의'!$P$6)^2)/3)/'판정 기준'!$B$7),0)</f>
        <v>73</v>
      </c>
      <c r="AG164" s="24" t="n">
        <f aca="false">ROUND(100*(1-SQRT(((S164-'포지션 정의'!$N$7)^2+(T164-'포지션 정의'!$O$7)^2+(U164-'포지션 정의'!$P$7)^2)/3)/'판정 기준'!$B$7),0)</f>
        <v>80</v>
      </c>
      <c r="AH164" s="24" t="n">
        <f aca="false">ROUND(100*(1-SQRT(((S164-'포지션 정의'!$N$8)^2+(T164-'포지션 정의'!$O$8)^2+(U164-'포지션 정의'!$P$8)^2)/3)/'판정 기준'!$B$7),0)</f>
        <v>66</v>
      </c>
      <c r="AI164" s="24" t="n">
        <f aca="false">ROUND(100*(1-SQRT(((S164-'포지션 정의'!$N$9)^2+(T164-'포지션 정의'!$O$9)^2+(U164-'포지션 정의'!$P$9)^2)/3)/'판정 기준'!$B$7),0)</f>
        <v>94</v>
      </c>
      <c r="AJ164" s="23" t="str">
        <f aca="false">IF(G164&gt;='판정 기준'!$B$8,"경기긴장도, ","")&amp;IF(Q164&gt;='판정 기준'!$B$8,"사회적 도움 활용, ","")&amp;IF(K164&gt;='판정 기준'!$B$8,"경기 준비 능력, ","")&amp;IF(N164&gt;='판정 기준'!$B$8,"실수 후 회복력, ","")&amp;IF(P164&gt;='판정 기준'!$B$8,"자기 통제력, ","")</f>
        <v>경기긴장도, 사회적 도움 활용, 경기 준비 능력, 실수 후 회복력, 자기 통제력, </v>
      </c>
      <c r="AK164" s="23" t="n">
        <f aca="false">IF(AND(G164&lt;'판정 기준'!$B$8,OR(AJ164&lt;&gt;"",AP164&lt;&gt;"경기긴장도")),G164,0)</f>
        <v>0</v>
      </c>
      <c r="AL164" s="23" t="n">
        <f aca="false">IF(AND(Q164&lt;'판정 기준'!$B$8,OR(AJ164&lt;&gt;"",AP164&lt;&gt;"사회적 도움 활용")),Q164,0)</f>
        <v>0</v>
      </c>
      <c r="AM164" s="23" t="n">
        <f aca="false">IF(AND(K164&lt;'판정 기준'!$B$8,OR(AJ164&lt;&gt;"",AP164&lt;&gt;"경기 준비 능력")),K164,0)</f>
        <v>0</v>
      </c>
      <c r="AN164" s="23" t="n">
        <f aca="false">IF(AND(N164&lt;'판정 기준'!$B$8,OR(AJ164&lt;&gt;"",AP164&lt;&gt;"실수 후 회복력")),N164,0)</f>
        <v>0</v>
      </c>
      <c r="AO164" s="23" t="n">
        <f aca="false">IF(AND(P164&lt;'판정 기준'!$B$8,OR(AJ164&lt;&gt;"",AP164&lt;&gt;"자기 통제력")),P164,0)</f>
        <v>0</v>
      </c>
      <c r="AP164" s="23" t="str">
        <f aca="false">IF(Q164=MAX(G164,Q164,K164,N164,P164),"사회적 도움 활용",IF(P164=MAX(G164,Q164,K164,N164,P164),"자기 통제력",IF(G164=MAX(G164,Q164,K164,N164,P164),"경기긴장도",IF(K164=MAX(G164,Q164,K164,N164,P164),"경기 준비 능력","실수 후 회복력"))))</f>
        <v>사회적 도움 활용</v>
      </c>
    </row>
    <row r="165" customFormat="false" ht="17.15" hidden="false" customHeight="false" outlineLevel="0" collapsed="false">
      <c r="A165" s="13" t="s">
        <v>385</v>
      </c>
      <c r="B165" s="13" t="s">
        <v>187</v>
      </c>
      <c r="C165" s="13" t="s">
        <v>378</v>
      </c>
      <c r="D165" s="14" t="n">
        <v>46142</v>
      </c>
      <c r="E165" s="41" t="s">
        <v>198</v>
      </c>
      <c r="F165" s="42" t="n">
        <v>4.2</v>
      </c>
      <c r="G165" s="42" t="n">
        <v>4.1</v>
      </c>
      <c r="H165" s="42" t="n">
        <v>4.2</v>
      </c>
      <c r="I165" s="42" t="n">
        <v>3.2</v>
      </c>
      <c r="J165" s="42" t="n">
        <v>4.3</v>
      </c>
      <c r="K165" s="42" t="n">
        <v>3.4</v>
      </c>
      <c r="L165" s="42" t="n">
        <v>3.7</v>
      </c>
      <c r="M165" s="42" t="n">
        <v>3.1</v>
      </c>
      <c r="N165" s="42" t="n">
        <v>5.1</v>
      </c>
      <c r="O165" s="42" t="n">
        <v>6</v>
      </c>
      <c r="P165" s="42" t="n">
        <v>4</v>
      </c>
      <c r="Q165" s="42" t="n">
        <v>5.4</v>
      </c>
      <c r="R165" s="42" t="n">
        <v>5</v>
      </c>
      <c r="S165" s="37" t="n">
        <f aca="false">AVERAGE(G165:J165)</f>
        <v>3.95</v>
      </c>
      <c r="T165" s="37" t="n">
        <f aca="false">AVERAGE(K165:M165)</f>
        <v>3.4</v>
      </c>
      <c r="U165" s="37" t="n">
        <f aca="false">AVERAGE(N165:O165)</f>
        <v>5.55</v>
      </c>
      <c r="V165" s="23" t="str">
        <f aca="false">IF(S165&gt;='판정 기준'!$B$3,"H","L")&amp;IF(T165&gt;='판정 기준'!$B$3,"H","L")&amp;IF(U165&gt;='판정 기준'!$B$3,"H","L")</f>
        <v>LLH</v>
      </c>
      <c r="W165" s="36" t="str">
        <f aca="false">INDEX('포지션 정의'!$A$2:$A$9,MATCH(V165,'포지션 정의'!$D$2:$D$9,0))</f>
        <v>E</v>
      </c>
      <c r="X165" s="36" t="str">
        <f aca="false">INDEX('포지션 정의'!$B$2:$B$9,MATCH(V165,'포지션 정의'!$D$2:$D$9,0))</f>
        <v>오뚝이 회복형</v>
      </c>
      <c r="Y165" s="43" t="str">
        <f aca="false">IF(AJ165="","가장 높은 지표: "&amp;AP165,LEFT(AJ165,LEN(AJ165)-2))</f>
        <v>사회적 도움 활용, 실수 후 회복력</v>
      </c>
      <c r="Z165" s="43" t="str">
        <f aca="false">IF(MAX(AK165:AO165)=0,"심화: "&amp;IF(N165=MIN(G165,Q165,K165,N165,P165),"실수 후 회복력",IF(K165=MIN(G165,Q165,K165,N165,P165),"경기 준비 능력",IF(G165=MIN(G165,Q165,K165,N165,P165),"경기긴장도",IF(P165=MIN(G165,Q165,K165,N165,P165),"자기 통제력","사회적 도움 활용")))),IF(MAX(AK165:AO165)&gt;='판정 기준'!$B$8-'판정 기준'!$B$4,IF(AN165=MAX(AK165:AO165),"실수 후 회복력",IF(AM165=MAX(AK165:AO165),"경기 준비 능력",IF(AK165=MAX(AK165:AO165),"경기긴장도",IF(AO165=MAX(AK165:AO165),"자기 통제력","사회적 도움 활용")))),IF(AN165&gt;0,"실수 후 회복력",IF(AM165&gt;0,"경기 준비 능력",IF(AK165&gt;0,"경기긴장도",IF(AO165&gt;0,"자기 통제력","사회적 도움 활용"))))))</f>
        <v>경기 준비 능력</v>
      </c>
      <c r="AA165" s="43" t="str">
        <f aca="false">INDEX('포지션 정의'!$L$2:$L$9,MATCH(V165,'포지션 정의'!$D$2:$D$9,0))</f>
        <v>올리비에 지루 · 디에고 포를란 · 라다멜 팔카오</v>
      </c>
      <c r="AB165" s="24" t="n">
        <f aca="false">ROUND(100*(1-SQRT(((S165-'포지션 정의'!$N$2)^2+(T165-'포지션 정의'!$O$2)^2+(U165-'포지션 정의'!$P$2)^2)/3)/'판정 기준'!$B$7),0)</f>
        <v>71</v>
      </c>
      <c r="AC165" s="24" t="n">
        <f aca="false">ROUND(100*(1-SQRT(((S165-'포지션 정의'!$N$3)^2+(T165-'포지션 정의'!$O$3)^2+(U165-'포지션 정의'!$P$3)^2)/3)/'판정 기준'!$B$7),0)</f>
        <v>68</v>
      </c>
      <c r="AD165" s="24" t="n">
        <f aca="false">ROUND(100*(1-SQRT(((S165-'포지션 정의'!$N$4)^2+(T165-'포지션 정의'!$O$4)^2+(U165-'포지션 정의'!$P$4)^2)/3)/'판정 기준'!$B$7),0)</f>
        <v>75</v>
      </c>
      <c r="AE165" s="24" t="n">
        <f aca="false">ROUND(100*(1-SQRT(((S165-'포지션 정의'!$N$5)^2+(T165-'포지션 정의'!$O$5)^2+(U165-'포지션 정의'!$P$5)^2)/3)/'판정 기준'!$B$7),0)</f>
        <v>84</v>
      </c>
      <c r="AF165" s="24" t="n">
        <f aca="false">ROUND(100*(1-SQRT(((S165-'포지션 정의'!$N$6)^2+(T165-'포지션 정의'!$O$6)^2+(U165-'포지션 정의'!$P$6)^2)/3)/'판정 기준'!$B$7),0)</f>
        <v>94</v>
      </c>
      <c r="AG165" s="24" t="n">
        <f aca="false">ROUND(100*(1-SQRT(((S165-'포지션 정의'!$N$7)^2+(T165-'포지션 정의'!$O$7)^2+(U165-'포지션 정의'!$P$7)^2)/3)/'판정 기준'!$B$7),0)</f>
        <v>79</v>
      </c>
      <c r="AH165" s="24" t="n">
        <f aca="false">ROUND(100*(1-SQRT(((S165-'포지션 정의'!$N$8)^2+(T165-'포지션 정의'!$O$8)^2+(U165-'포지션 정의'!$P$8)^2)/3)/'판정 기준'!$B$7),0)</f>
        <v>79</v>
      </c>
      <c r="AI165" s="24" t="n">
        <f aca="false">ROUND(100*(1-SQRT(((S165-'포지션 정의'!$N$9)^2+(T165-'포지션 정의'!$O$9)^2+(U165-'포지션 정의'!$P$9)^2)/3)/'판정 기준'!$B$7),0)</f>
        <v>74</v>
      </c>
      <c r="AJ165" s="23" t="str">
        <f aca="false">IF(G165&gt;='판정 기준'!$B$8,"경기긴장도, ","")&amp;IF(Q165&gt;='판정 기준'!$B$8,"사회적 도움 활용, ","")&amp;IF(K165&gt;='판정 기준'!$B$8,"경기 준비 능력, ","")&amp;IF(N165&gt;='판정 기준'!$B$8,"실수 후 회복력, ","")&amp;IF(P165&gt;='판정 기준'!$B$8,"자기 통제력, ","")</f>
        <v>사회적 도움 활용, 실수 후 회복력, </v>
      </c>
      <c r="AK165" s="23" t="n">
        <f aca="false">IF(AND(G165&lt;'판정 기준'!$B$8,OR(AJ165&lt;&gt;"",AP165&lt;&gt;"경기긴장도")),G165,0)</f>
        <v>4.1</v>
      </c>
      <c r="AL165" s="23" t="n">
        <f aca="false">IF(AND(Q165&lt;'판정 기준'!$B$8,OR(AJ165&lt;&gt;"",AP165&lt;&gt;"사회적 도움 활용")),Q165,0)</f>
        <v>0</v>
      </c>
      <c r="AM165" s="23" t="n">
        <f aca="false">IF(AND(K165&lt;'판정 기준'!$B$8,OR(AJ165&lt;&gt;"",AP165&lt;&gt;"경기 준비 능력")),K165,0)</f>
        <v>3.4</v>
      </c>
      <c r="AN165" s="23" t="n">
        <f aca="false">IF(AND(N165&lt;'판정 기준'!$B$8,OR(AJ165&lt;&gt;"",AP165&lt;&gt;"실수 후 회복력")),N165,0)</f>
        <v>0</v>
      </c>
      <c r="AO165" s="23" t="n">
        <f aca="false">IF(AND(P165&lt;'판정 기준'!$B$8,OR(AJ165&lt;&gt;"",AP165&lt;&gt;"자기 통제력")),P165,0)</f>
        <v>4</v>
      </c>
      <c r="AP165" s="23" t="str">
        <f aca="false">IF(Q165=MAX(G165,Q165,K165,N165,P165),"사회적 도움 활용",IF(P165=MAX(G165,Q165,K165,N165,P165),"자기 통제력",IF(G165=MAX(G165,Q165,K165,N165,P165),"경기긴장도",IF(K165=MAX(G165,Q165,K165,N165,P165),"경기 준비 능력","실수 후 회복력"))))</f>
        <v>사회적 도움 활용</v>
      </c>
    </row>
    <row r="166" customFormat="false" ht="17.15" hidden="false" customHeight="false" outlineLevel="0" collapsed="false">
      <c r="A166" s="13" t="s">
        <v>386</v>
      </c>
      <c r="B166" s="13" t="s">
        <v>187</v>
      </c>
      <c r="C166" s="13" t="s">
        <v>378</v>
      </c>
      <c r="D166" s="14" t="n">
        <v>46142</v>
      </c>
      <c r="E166" s="41" t="s">
        <v>198</v>
      </c>
      <c r="F166" s="42" t="n">
        <v>3.9</v>
      </c>
      <c r="G166" s="42" t="n">
        <v>2.4</v>
      </c>
      <c r="H166" s="42" t="n">
        <v>2</v>
      </c>
      <c r="I166" s="42" t="n">
        <v>3</v>
      </c>
      <c r="J166" s="42" t="n">
        <v>2.5</v>
      </c>
      <c r="K166" s="42" t="n">
        <v>4.5</v>
      </c>
      <c r="L166" s="42" t="n">
        <v>4.7</v>
      </c>
      <c r="M166" s="42" t="n">
        <v>4.4</v>
      </c>
      <c r="N166" s="42" t="n">
        <v>3.9</v>
      </c>
      <c r="O166" s="42" t="n">
        <v>3.5</v>
      </c>
      <c r="P166" s="42" t="n">
        <v>5.2</v>
      </c>
      <c r="Q166" s="42" t="n">
        <v>6</v>
      </c>
      <c r="R166" s="42" t="n">
        <v>5.7</v>
      </c>
      <c r="S166" s="37" t="n">
        <f aca="false">AVERAGE(G166:J166)</f>
        <v>2.475</v>
      </c>
      <c r="T166" s="37" t="n">
        <f aca="false">AVERAGE(K166:M166)</f>
        <v>4.53333333333333</v>
      </c>
      <c r="U166" s="37" t="n">
        <f aca="false">AVERAGE(N166:O166)</f>
        <v>3.7</v>
      </c>
      <c r="V166" s="23" t="str">
        <f aca="false">IF(S166&gt;='판정 기준'!$B$3,"H","L")&amp;IF(T166&gt;='판정 기준'!$B$3,"H","L")&amp;IF(U166&gt;='판정 기준'!$B$3,"H","L")</f>
        <v>LHL</v>
      </c>
      <c r="W166" s="36" t="str">
        <f aca="false">INDEX('포지션 정의'!$A$2:$A$9,MATCH(V166,'포지션 정의'!$D$2:$D$9,0))</f>
        <v>A</v>
      </c>
      <c r="X166" s="36" t="str">
        <f aca="false">INDEX('포지션 정의'!$B$2:$B$9,MATCH(V166,'포지션 정의'!$D$2:$D$9,0))</f>
        <v>섬세한 준비형</v>
      </c>
      <c r="Y166" s="43" t="str">
        <f aca="false">IF(AJ166="","가장 높은 지표: "&amp;AP166,LEFT(AJ166,LEN(AJ166)-2))</f>
        <v>사회적 도움 활용, 자기 통제력</v>
      </c>
      <c r="Z166" s="43" t="str">
        <f aca="false">IF(MAX(AK166:AO166)=0,"심화: "&amp;IF(N166=MIN(G166,Q166,K166,N166,P166),"실수 후 회복력",IF(K166=MIN(G166,Q166,K166,N166,P166),"경기 준비 능력",IF(G166=MIN(G166,Q166,K166,N166,P166),"경기긴장도",IF(P166=MIN(G166,Q166,K166,N166,P166),"자기 통제력","사회적 도움 활용")))),IF(MAX(AK166:AO166)&gt;='판정 기준'!$B$8-'판정 기준'!$B$4,IF(AN166=MAX(AK166:AO166),"실수 후 회복력",IF(AM166=MAX(AK166:AO166),"경기 준비 능력",IF(AK166=MAX(AK166:AO166),"경기긴장도",IF(AO166=MAX(AK166:AO166),"자기 통제력","사회적 도움 활용")))),IF(AN166&gt;0,"실수 후 회복력",IF(AM166&gt;0,"경기 준비 능력",IF(AK166&gt;0,"경기긴장도",IF(AO166&gt;0,"자기 통제력","사회적 도움 활용"))))))</f>
        <v>경기 준비 능력</v>
      </c>
      <c r="AA166" s="43" t="str">
        <f aca="false">INDEX('포지션 정의'!$L$2:$L$9,MATCH(V166,'포지션 정의'!$D$2:$D$9,0))</f>
        <v>로베르트 레반도프스키 · 제임스 밀너 · 마르틴 외데고르</v>
      </c>
      <c r="AB166" s="24" t="n">
        <f aca="false">ROUND(100*(1-SQRT(((S166-'포지션 정의'!$N$2)^2+(T166-'포지션 정의'!$O$2)^2+(U166-'포지션 정의'!$P$2)^2)/3)/'판정 기준'!$B$7),0)</f>
        <v>83</v>
      </c>
      <c r="AC166" s="24" t="n">
        <f aca="false">ROUND(100*(1-SQRT(((S166-'포지션 정의'!$N$3)^2+(T166-'포지션 정의'!$O$3)^2+(U166-'포지션 정의'!$P$3)^2)/3)/'판정 기준'!$B$7),0)</f>
        <v>68</v>
      </c>
      <c r="AD166" s="24" t="n">
        <f aca="false">ROUND(100*(1-SQRT(((S166-'포지션 정의'!$N$4)^2+(T166-'포지션 정의'!$O$4)^2+(U166-'포지션 정의'!$P$4)^2)/3)/'판정 기준'!$B$7),0)</f>
        <v>67</v>
      </c>
      <c r="AE166" s="24" t="n">
        <f aca="false">ROUND(100*(1-SQRT(((S166-'포지션 정의'!$N$5)^2+(T166-'포지션 정의'!$O$5)^2+(U166-'포지션 정의'!$P$5)^2)/3)/'판정 기준'!$B$7),0)</f>
        <v>63</v>
      </c>
      <c r="AF166" s="24" t="n">
        <f aca="false">ROUND(100*(1-SQRT(((S166-'포지션 정의'!$N$6)^2+(T166-'포지션 정의'!$O$6)^2+(U166-'포지션 정의'!$P$6)^2)/3)/'판정 기준'!$B$7),0)</f>
        <v>75</v>
      </c>
      <c r="AG166" s="24" t="n">
        <f aca="false">ROUND(100*(1-SQRT(((S166-'포지션 정의'!$N$7)^2+(T166-'포지션 정의'!$O$7)^2+(U166-'포지션 정의'!$P$7)^2)/3)/'판정 기준'!$B$7),0)</f>
        <v>76</v>
      </c>
      <c r="AH166" s="24" t="n">
        <f aca="false">ROUND(100*(1-SQRT(((S166-'포지션 정의'!$N$8)^2+(T166-'포지션 정의'!$O$8)^2+(U166-'포지션 정의'!$P$8)^2)/3)/'판정 기준'!$B$7),0)</f>
        <v>82</v>
      </c>
      <c r="AI166" s="24" t="n">
        <f aca="false">ROUND(100*(1-SQRT(((S166-'포지션 정의'!$N$9)^2+(T166-'포지션 정의'!$O$9)^2+(U166-'포지션 정의'!$P$9)^2)/3)/'판정 기준'!$B$7),0)</f>
        <v>63</v>
      </c>
      <c r="AJ166" s="23" t="str">
        <f aca="false">IF(G166&gt;='판정 기준'!$B$8,"경기긴장도, ","")&amp;IF(Q166&gt;='판정 기준'!$B$8,"사회적 도움 활용, ","")&amp;IF(K166&gt;='판정 기준'!$B$8,"경기 준비 능력, ","")&amp;IF(N166&gt;='판정 기준'!$B$8,"실수 후 회복력, ","")&amp;IF(P166&gt;='판정 기준'!$B$8,"자기 통제력, ","")</f>
        <v>사회적 도움 활용, 자기 통제력, </v>
      </c>
      <c r="AK166" s="23" t="n">
        <f aca="false">IF(AND(G166&lt;'판정 기준'!$B$8,OR(AJ166&lt;&gt;"",AP166&lt;&gt;"경기긴장도")),G166,0)</f>
        <v>2.4</v>
      </c>
      <c r="AL166" s="23" t="n">
        <f aca="false">IF(AND(Q166&lt;'판정 기준'!$B$8,OR(AJ166&lt;&gt;"",AP166&lt;&gt;"사회적 도움 활용")),Q166,0)</f>
        <v>0</v>
      </c>
      <c r="AM166" s="23" t="n">
        <f aca="false">IF(AND(K166&lt;'판정 기준'!$B$8,OR(AJ166&lt;&gt;"",AP166&lt;&gt;"경기 준비 능력")),K166,0)</f>
        <v>4.5</v>
      </c>
      <c r="AN166" s="23" t="n">
        <f aca="false">IF(AND(N166&lt;'판정 기준'!$B$8,OR(AJ166&lt;&gt;"",AP166&lt;&gt;"실수 후 회복력")),N166,0)</f>
        <v>3.9</v>
      </c>
      <c r="AO166" s="23" t="n">
        <f aca="false">IF(AND(P166&lt;'판정 기준'!$B$8,OR(AJ166&lt;&gt;"",AP166&lt;&gt;"자기 통제력")),P166,0)</f>
        <v>0</v>
      </c>
      <c r="AP166" s="23" t="str">
        <f aca="false">IF(Q166=MAX(G166,Q166,K166,N166,P166),"사회적 도움 활용",IF(P166=MAX(G166,Q166,K166,N166,P166),"자기 통제력",IF(G166=MAX(G166,Q166,K166,N166,P166),"경기긴장도",IF(K166=MAX(G166,Q166,K166,N166,P166),"경기 준비 능력","실수 후 회복력"))))</f>
        <v>사회적 도움 활용</v>
      </c>
    </row>
    <row r="167" customFormat="false" ht="17.15" hidden="false" customHeight="false" outlineLevel="0" collapsed="false">
      <c r="A167" s="13" t="s">
        <v>387</v>
      </c>
      <c r="B167" s="13" t="s">
        <v>187</v>
      </c>
      <c r="C167" s="13" t="s">
        <v>378</v>
      </c>
      <c r="D167" s="14" t="n">
        <v>46141</v>
      </c>
      <c r="E167" s="41" t="s">
        <v>198</v>
      </c>
      <c r="F167" s="42" t="n">
        <v>4.6</v>
      </c>
      <c r="G167" s="42" t="n">
        <v>4.3</v>
      </c>
      <c r="H167" s="42" t="n">
        <v>3</v>
      </c>
      <c r="I167" s="42" t="n">
        <v>5</v>
      </c>
      <c r="J167" s="42" t="n">
        <v>4</v>
      </c>
      <c r="K167" s="42" t="n">
        <v>4.2</v>
      </c>
      <c r="L167" s="42" t="n">
        <v>3.7</v>
      </c>
      <c r="M167" s="42" t="n">
        <v>4.7</v>
      </c>
      <c r="N167" s="42" t="n">
        <v>5.3</v>
      </c>
      <c r="O167" s="42" t="n">
        <v>4.5</v>
      </c>
      <c r="P167" s="42" t="n">
        <v>4.3</v>
      </c>
      <c r="Q167" s="42" t="n">
        <v>5.8</v>
      </c>
      <c r="R167" s="42" t="n">
        <v>5.3</v>
      </c>
      <c r="S167" s="37" t="n">
        <f aca="false">AVERAGE(G167:J167)</f>
        <v>4.075</v>
      </c>
      <c r="T167" s="37" t="n">
        <f aca="false">AVERAGE(K167:M167)</f>
        <v>4.2</v>
      </c>
      <c r="U167" s="37" t="n">
        <f aca="false">AVERAGE(N167:O167)</f>
        <v>4.9</v>
      </c>
      <c r="V167" s="23" t="str">
        <f aca="false">IF(S167&gt;='판정 기준'!$B$3,"H","L")&amp;IF(T167&gt;='판정 기준'!$B$3,"H","L")&amp;IF(U167&gt;='판정 기준'!$B$3,"H","L")</f>
        <v>LLH</v>
      </c>
      <c r="W167" s="36" t="str">
        <f aca="false">INDEX('포지션 정의'!$A$2:$A$9,MATCH(V167,'포지션 정의'!$D$2:$D$9,0))</f>
        <v>E</v>
      </c>
      <c r="X167" s="36" t="str">
        <f aca="false">INDEX('포지션 정의'!$B$2:$B$9,MATCH(V167,'포지션 정의'!$D$2:$D$9,0))</f>
        <v>오뚝이 회복형</v>
      </c>
      <c r="Y167" s="43" t="str">
        <f aca="false">IF(AJ167="","가장 높은 지표: "&amp;AP167,LEFT(AJ167,LEN(AJ167)-2))</f>
        <v>사회적 도움 활용, 실수 후 회복력</v>
      </c>
      <c r="Z167" s="43" t="str">
        <f aca="false">IF(MAX(AK167:AO167)=0,"심화: "&amp;IF(N167=MIN(G167,Q167,K167,N167,P167),"실수 후 회복력",IF(K167=MIN(G167,Q167,K167,N167,P167),"경기 준비 능력",IF(G167=MIN(G167,Q167,K167,N167,P167),"경기긴장도",IF(P167=MIN(G167,Q167,K167,N167,P167),"자기 통제력","사회적 도움 활용")))),IF(MAX(AK167:AO167)&gt;='판정 기준'!$B$8-'판정 기준'!$B$4,IF(AN167=MAX(AK167:AO167),"실수 후 회복력",IF(AM167=MAX(AK167:AO167),"경기 준비 능력",IF(AK167=MAX(AK167:AO167),"경기긴장도",IF(AO167=MAX(AK167:AO167),"자기 통제력","사회적 도움 활용")))),IF(AN167&gt;0,"실수 후 회복력",IF(AM167&gt;0,"경기 준비 능력",IF(AK167&gt;0,"경기긴장도",IF(AO167&gt;0,"자기 통제력","사회적 도움 활용"))))))</f>
        <v>경기 준비 능력</v>
      </c>
      <c r="AA167" s="43" t="str">
        <f aca="false">INDEX('포지션 정의'!$L$2:$L$9,MATCH(V167,'포지션 정의'!$D$2:$D$9,0))</f>
        <v>올리비에 지루 · 디에고 포를란 · 라다멜 팔카오</v>
      </c>
      <c r="AB167" s="24" t="n">
        <f aca="false">ROUND(100*(1-SQRT(((S167-'포지션 정의'!$N$2)^2+(T167-'포지션 정의'!$O$2)^2+(U167-'포지션 정의'!$P$2)^2)/3)/'판정 기준'!$B$7),0)</f>
        <v>83</v>
      </c>
      <c r="AC167" s="24" t="n">
        <f aca="false">ROUND(100*(1-SQRT(((S167-'포지션 정의'!$N$3)^2+(T167-'포지션 정의'!$O$3)^2+(U167-'포지션 정의'!$P$3)^2)/3)/'판정 기준'!$B$7),0)</f>
        <v>78</v>
      </c>
      <c r="AD167" s="24" t="n">
        <f aca="false">ROUND(100*(1-SQRT(((S167-'포지션 정의'!$N$4)^2+(T167-'포지션 정의'!$O$4)^2+(U167-'포지션 정의'!$P$4)^2)/3)/'판정 기준'!$B$7),0)</f>
        <v>81</v>
      </c>
      <c r="AE167" s="24" t="n">
        <f aca="false">ROUND(100*(1-SQRT(((S167-'포지션 정의'!$N$5)^2+(T167-'포지션 정의'!$O$5)^2+(U167-'포지션 정의'!$P$5)^2)/3)/'판정 기준'!$B$7),0)</f>
        <v>86</v>
      </c>
      <c r="AF167" s="24" t="n">
        <f aca="false">ROUND(100*(1-SQRT(((S167-'포지션 정의'!$N$6)^2+(T167-'포지션 정의'!$O$6)^2+(U167-'포지션 정의'!$P$6)^2)/3)/'판정 기준'!$B$7),0)</f>
        <v>93</v>
      </c>
      <c r="AG167" s="24" t="n">
        <f aca="false">ROUND(100*(1-SQRT(((S167-'포지션 정의'!$N$7)^2+(T167-'포지션 정의'!$O$7)^2+(U167-'포지션 정의'!$P$7)^2)/3)/'판정 기준'!$B$7),0)</f>
        <v>88</v>
      </c>
      <c r="AH167" s="24" t="n">
        <f aca="false">ROUND(100*(1-SQRT(((S167-'포지션 정의'!$N$8)^2+(T167-'포지션 정의'!$O$8)^2+(U167-'포지션 정의'!$P$8)^2)/3)/'판정 기준'!$B$7),0)</f>
        <v>86</v>
      </c>
      <c r="AI167" s="24" t="n">
        <f aca="false">ROUND(100*(1-SQRT(((S167-'포지션 정의'!$N$9)^2+(T167-'포지션 정의'!$O$9)^2+(U167-'포지션 정의'!$P$9)^2)/3)/'판정 기준'!$B$7),0)</f>
        <v>82</v>
      </c>
      <c r="AJ167" s="23" t="str">
        <f aca="false">IF(G167&gt;='판정 기준'!$B$8,"경기긴장도, ","")&amp;IF(Q167&gt;='판정 기준'!$B$8,"사회적 도움 활용, ","")&amp;IF(K167&gt;='판정 기준'!$B$8,"경기 준비 능력, ","")&amp;IF(N167&gt;='판정 기준'!$B$8,"실수 후 회복력, ","")&amp;IF(P167&gt;='판정 기준'!$B$8,"자기 통제력, ","")</f>
        <v>사회적 도움 활용, 실수 후 회복력, </v>
      </c>
      <c r="AK167" s="23" t="n">
        <f aca="false">IF(AND(G167&lt;'판정 기준'!$B$8,OR(AJ167&lt;&gt;"",AP167&lt;&gt;"경기긴장도")),G167,0)</f>
        <v>4.3</v>
      </c>
      <c r="AL167" s="23" t="n">
        <f aca="false">IF(AND(Q167&lt;'판정 기준'!$B$8,OR(AJ167&lt;&gt;"",AP167&lt;&gt;"사회적 도움 활용")),Q167,0)</f>
        <v>0</v>
      </c>
      <c r="AM167" s="23" t="n">
        <f aca="false">IF(AND(K167&lt;'판정 기준'!$B$8,OR(AJ167&lt;&gt;"",AP167&lt;&gt;"경기 준비 능력")),K167,0)</f>
        <v>4.2</v>
      </c>
      <c r="AN167" s="23" t="n">
        <f aca="false">IF(AND(N167&lt;'판정 기준'!$B$8,OR(AJ167&lt;&gt;"",AP167&lt;&gt;"실수 후 회복력")),N167,0)</f>
        <v>0</v>
      </c>
      <c r="AO167" s="23" t="n">
        <f aca="false">IF(AND(P167&lt;'판정 기준'!$B$8,OR(AJ167&lt;&gt;"",AP167&lt;&gt;"자기 통제력")),P167,0)</f>
        <v>4.3</v>
      </c>
      <c r="AP167" s="23" t="str">
        <f aca="false">IF(Q167=MAX(G167,Q167,K167,N167,P167),"사회적 도움 활용",IF(P167=MAX(G167,Q167,K167,N167,P167),"자기 통제력",IF(G167=MAX(G167,Q167,K167,N167,P167),"경기긴장도",IF(K167=MAX(G167,Q167,K167,N167,P167),"경기 준비 능력","실수 후 회복력"))))</f>
        <v>사회적 도움 활용</v>
      </c>
    </row>
    <row r="168" customFormat="false" ht="17.15" hidden="false" customHeight="false" outlineLevel="0" collapsed="false">
      <c r="A168" s="13" t="s">
        <v>388</v>
      </c>
      <c r="B168" s="13" t="s">
        <v>187</v>
      </c>
      <c r="C168" s="13" t="s">
        <v>378</v>
      </c>
      <c r="D168" s="14" t="n">
        <v>46141</v>
      </c>
      <c r="E168" s="41" t="s">
        <v>198</v>
      </c>
      <c r="F168" s="42" t="n">
        <v>5.7</v>
      </c>
      <c r="G168" s="42" t="n">
        <v>5.6</v>
      </c>
      <c r="H168" s="42" t="n">
        <v>5.7</v>
      </c>
      <c r="I168" s="42" t="n">
        <v>6</v>
      </c>
      <c r="J168" s="42" t="n">
        <v>5.7</v>
      </c>
      <c r="K168" s="42" t="n">
        <v>5.3</v>
      </c>
      <c r="L168" s="42" t="n">
        <v>5</v>
      </c>
      <c r="M168" s="42" t="n">
        <v>5.6</v>
      </c>
      <c r="N168" s="42" t="n">
        <v>6</v>
      </c>
      <c r="O168" s="42" t="n">
        <v>5.8</v>
      </c>
      <c r="P168" s="42" t="n">
        <v>6</v>
      </c>
      <c r="Q168" s="42" t="n">
        <v>5.8</v>
      </c>
      <c r="R168" s="42" t="n">
        <v>6</v>
      </c>
      <c r="S168" s="37" t="n">
        <f aca="false">AVERAGE(G168:J168)</f>
        <v>5.75</v>
      </c>
      <c r="T168" s="37" t="n">
        <f aca="false">AVERAGE(K168:M168)</f>
        <v>5.3</v>
      </c>
      <c r="U168" s="37" t="n">
        <f aca="false">AVERAGE(N168:O168)</f>
        <v>5.9</v>
      </c>
      <c r="V168" s="23" t="str">
        <f aca="false">IF(S168&gt;='판정 기준'!$B$3,"H","L")&amp;IF(T168&gt;='판정 기준'!$B$3,"H","L")&amp;IF(U168&gt;='판정 기준'!$B$3,"H","L")</f>
        <v>HHH</v>
      </c>
      <c r="W168" s="36" t="str">
        <f aca="false">INDEX('포지션 정의'!$A$2:$A$9,MATCH(V168,'포지션 정의'!$D$2:$D$9,0))</f>
        <v>H</v>
      </c>
      <c r="X168" s="36" t="str">
        <f aca="false">INDEX('포지션 정의'!$B$2:$B$9,MATCH(V168,'포지션 정의'!$D$2:$D$9,0))</f>
        <v>올라운드 밸런스형</v>
      </c>
      <c r="Y168" s="43" t="str">
        <f aca="false">IF(AJ168="","가장 높은 지표: "&amp;AP168,LEFT(AJ168,LEN(AJ168)-2))</f>
        <v>경기긴장도, 사회적 도움 활용, 경기 준비 능력, 실수 후 회복력, 자기 통제력</v>
      </c>
      <c r="Z168" s="43" t="str">
        <f aca="false">IF(MAX(AK168:AO168)=0,"심화: "&amp;IF(N168=MIN(G168,Q168,K168,N168,P168),"실수 후 회복력",IF(K168=MIN(G168,Q168,K168,N168,P168),"경기 준비 능력",IF(G168=MIN(G168,Q168,K168,N168,P168),"경기긴장도",IF(P168=MIN(G168,Q168,K168,N168,P168),"자기 통제력","사회적 도움 활용")))),IF(MAX(AK168:AO168)&gt;='판정 기준'!$B$8-'판정 기준'!$B$4,IF(AN168=MAX(AK168:AO168),"실수 후 회복력",IF(AM168=MAX(AK168:AO168),"경기 준비 능력",IF(AK168=MAX(AK168:AO168),"경기긴장도",IF(AO168=MAX(AK168:AO168),"자기 통제력","사회적 도움 활용")))),IF(AN168&gt;0,"실수 후 회복력",IF(AM168&gt;0,"경기 준비 능력",IF(AK168&gt;0,"경기긴장도",IF(AO168&gt;0,"자기 통제력","사회적 도움 활용"))))))</f>
        <v>심화: 경기 준비 능력</v>
      </c>
      <c r="AA168" s="43" t="str">
        <f aca="false">INDEX('포지션 정의'!$L$2:$L$9,MATCH(V168,'포지션 정의'!$D$2:$D$9,0))</f>
        <v>크리스티아누 호날두 · 루카 모드리치 · 버질 반 다이크</v>
      </c>
      <c r="AB168" s="24" t="n">
        <f aca="false">ROUND(100*(1-SQRT(((S168-'포지션 정의'!$N$2)^2+(T168-'포지션 정의'!$O$2)^2+(U168-'포지션 정의'!$P$2)^2)/3)/'판정 기준'!$B$7),0)</f>
        <v>67</v>
      </c>
      <c r="AC168" s="24" t="n">
        <f aca="false">ROUND(100*(1-SQRT(((S168-'포지션 정의'!$N$3)^2+(T168-'포지션 정의'!$O$3)^2+(U168-'포지션 정의'!$P$3)^2)/3)/'판정 기준'!$B$7),0)</f>
        <v>75</v>
      </c>
      <c r="AD168" s="24" t="n">
        <f aca="false">ROUND(100*(1-SQRT(((S168-'포지션 정의'!$N$4)^2+(T168-'포지션 정의'!$O$4)^2+(U168-'포지션 정의'!$P$4)^2)/3)/'판정 기준'!$B$7),0)</f>
        <v>70</v>
      </c>
      <c r="AE168" s="24" t="n">
        <f aca="false">ROUND(100*(1-SQRT(((S168-'포지션 정의'!$N$5)^2+(T168-'포지션 정의'!$O$5)^2+(U168-'포지션 정의'!$P$5)^2)/3)/'판정 기준'!$B$7),0)</f>
        <v>80</v>
      </c>
      <c r="AF168" s="24" t="n">
        <f aca="false">ROUND(100*(1-SQRT(((S168-'포지션 정의'!$N$6)^2+(T168-'포지션 정의'!$O$6)^2+(U168-'포지션 정의'!$P$6)^2)/3)/'판정 기준'!$B$7),0)</f>
        <v>70</v>
      </c>
      <c r="AG168" s="24" t="n">
        <f aca="false">ROUND(100*(1-SQRT(((S168-'포지션 정의'!$N$7)^2+(T168-'포지션 정의'!$O$7)^2+(U168-'포지션 정의'!$P$7)^2)/3)/'판정 기준'!$B$7),0)</f>
        <v>76</v>
      </c>
      <c r="AH168" s="24" t="n">
        <f aca="false">ROUND(100*(1-SQRT(((S168-'포지션 정의'!$N$8)^2+(T168-'포지션 정의'!$O$8)^2+(U168-'포지션 정의'!$P$8)^2)/3)/'판정 기준'!$B$7),0)</f>
        <v>63</v>
      </c>
      <c r="AI168" s="24" t="n">
        <f aca="false">ROUND(100*(1-SQRT(((S168-'포지션 정의'!$N$9)^2+(T168-'포지션 정의'!$O$9)^2+(U168-'포지션 정의'!$P$9)^2)/3)/'판정 기준'!$B$7),0)</f>
        <v>90</v>
      </c>
      <c r="AJ168" s="23" t="str">
        <f aca="false">IF(G168&gt;='판정 기준'!$B$8,"경기긴장도, ","")&amp;IF(Q168&gt;='판정 기준'!$B$8,"사회적 도움 활용, ","")&amp;IF(K168&gt;='판정 기준'!$B$8,"경기 준비 능력, ","")&amp;IF(N168&gt;='판정 기준'!$B$8,"실수 후 회복력, ","")&amp;IF(P168&gt;='판정 기준'!$B$8,"자기 통제력, ","")</f>
        <v>경기긴장도, 사회적 도움 활용, 경기 준비 능력, 실수 후 회복력, 자기 통제력, </v>
      </c>
      <c r="AK168" s="23" t="n">
        <f aca="false">IF(AND(G168&lt;'판정 기준'!$B$8,OR(AJ168&lt;&gt;"",AP168&lt;&gt;"경기긴장도")),G168,0)</f>
        <v>0</v>
      </c>
      <c r="AL168" s="23" t="n">
        <f aca="false">IF(AND(Q168&lt;'판정 기준'!$B$8,OR(AJ168&lt;&gt;"",AP168&lt;&gt;"사회적 도움 활용")),Q168,0)</f>
        <v>0</v>
      </c>
      <c r="AM168" s="23" t="n">
        <f aca="false">IF(AND(K168&lt;'판정 기준'!$B$8,OR(AJ168&lt;&gt;"",AP168&lt;&gt;"경기 준비 능력")),K168,0)</f>
        <v>0</v>
      </c>
      <c r="AN168" s="23" t="n">
        <f aca="false">IF(AND(N168&lt;'판정 기준'!$B$8,OR(AJ168&lt;&gt;"",AP168&lt;&gt;"실수 후 회복력")),N168,0)</f>
        <v>0</v>
      </c>
      <c r="AO168" s="23" t="n">
        <f aca="false">IF(AND(P168&lt;'판정 기준'!$B$8,OR(AJ168&lt;&gt;"",AP168&lt;&gt;"자기 통제력")),P168,0)</f>
        <v>0</v>
      </c>
      <c r="AP168" s="23" t="str">
        <f aca="false">IF(Q168=MAX(G168,Q168,K168,N168,P168),"사회적 도움 활용",IF(P168=MAX(G168,Q168,K168,N168,P168),"자기 통제력",IF(G168=MAX(G168,Q168,K168,N168,P168),"경기긴장도",IF(K168=MAX(G168,Q168,K168,N168,P168),"경기 준비 능력","실수 후 회복력"))))</f>
        <v>자기 통제력</v>
      </c>
    </row>
    <row r="169" customFormat="false" ht="17.15" hidden="false" customHeight="false" outlineLevel="0" collapsed="false">
      <c r="A169" s="13" t="s">
        <v>389</v>
      </c>
      <c r="B169" s="13" t="s">
        <v>187</v>
      </c>
      <c r="C169" s="13" t="s">
        <v>378</v>
      </c>
      <c r="D169" s="14" t="n">
        <v>46141</v>
      </c>
      <c r="E169" s="41" t="s">
        <v>198</v>
      </c>
      <c r="F169" s="42" t="n">
        <v>3.4</v>
      </c>
      <c r="G169" s="42" t="n">
        <v>3.2</v>
      </c>
      <c r="H169" s="42" t="n">
        <v>2.7</v>
      </c>
      <c r="I169" s="42" t="n">
        <v>4.6</v>
      </c>
      <c r="J169" s="42" t="n">
        <v>2.3</v>
      </c>
      <c r="K169" s="42" t="n">
        <v>3</v>
      </c>
      <c r="L169" s="42" t="n">
        <v>2.5</v>
      </c>
      <c r="M169" s="42" t="n">
        <v>3.4</v>
      </c>
      <c r="N169" s="42" t="n">
        <v>3.3</v>
      </c>
      <c r="O169" s="42" t="n">
        <v>3</v>
      </c>
      <c r="P169" s="42" t="n">
        <v>4.3</v>
      </c>
      <c r="Q169" s="42" t="n">
        <v>4</v>
      </c>
      <c r="R169" s="42" t="n">
        <v>4.3</v>
      </c>
      <c r="S169" s="37" t="n">
        <f aca="false">AVERAGE(G169:J169)</f>
        <v>3.2</v>
      </c>
      <c r="T169" s="37" t="n">
        <f aca="false">AVERAGE(K169:M169)</f>
        <v>2.96666666666667</v>
      </c>
      <c r="U169" s="37" t="n">
        <f aca="false">AVERAGE(N169:O169)</f>
        <v>3.15</v>
      </c>
      <c r="V169" s="23" t="str">
        <f aca="false">IF(S169&gt;='판정 기준'!$B$3,"H","L")&amp;IF(T169&gt;='판정 기준'!$B$3,"H","L")&amp;IF(U169&gt;='판정 기준'!$B$3,"H","L")</f>
        <v>LLL</v>
      </c>
      <c r="W169" s="36" t="str">
        <f aca="false">INDEX('포지션 정의'!$A$2:$A$9,MATCH(V169,'포지션 정의'!$D$2:$D$9,0))</f>
        <v>G</v>
      </c>
      <c r="X169" s="36" t="str">
        <f aca="false">INDEX('포지션 정의'!$B$2:$B$9,MATCH(V169,'포지션 정의'!$D$2:$D$9,0))</f>
        <v>스펀지 흡수형</v>
      </c>
      <c r="Y169" s="43" t="str">
        <f aca="false">IF(AJ169="","가장 높은 지표: "&amp;AP169,LEFT(AJ169,LEN(AJ169)-2))</f>
        <v>가장 높은 지표: 자기 통제력</v>
      </c>
      <c r="Z169" s="43" t="str">
        <f aca="false">IF(MAX(AK169:AO169)=0,"심화: "&amp;IF(N169=MIN(G169,Q169,K169,N169,P169),"실수 후 회복력",IF(K169=MIN(G169,Q169,K169,N169,P169),"경기 준비 능력",IF(G169=MIN(G169,Q169,K169,N169,P169),"경기긴장도",IF(P169=MIN(G169,Q169,K169,N169,P169),"자기 통제력","사회적 도움 활용")))),IF(MAX(AK169:AO169)&gt;='판정 기준'!$B$8-'판정 기준'!$B$4,IF(AN169=MAX(AK169:AO169),"실수 후 회복력",IF(AM169=MAX(AK169:AO169),"경기 준비 능력",IF(AK169=MAX(AK169:AO169),"경기긴장도",IF(AO169=MAX(AK169:AO169),"자기 통제력","사회적 도움 활용")))),IF(AN169&gt;0,"실수 후 회복력",IF(AM169&gt;0,"경기 준비 능력",IF(AK169&gt;0,"경기긴장도",IF(AO169&gt;0,"자기 통제력","사회적 도움 활용"))))))</f>
        <v>실수 후 회복력</v>
      </c>
      <c r="AA169" s="43" t="str">
        <f aca="false">INDEX('포지션 정의'!$L$2:$L$9,MATCH(V169,'포지션 정의'!$D$2:$D$9,0))</f>
        <v>디디에 드로그바 · 앙투안 그리즈만 · 모하메드 살라</v>
      </c>
      <c r="AB169" s="24" t="n">
        <f aca="false">ROUND(100*(1-SQRT(((S169-'포지션 정의'!$N$2)^2+(T169-'포지션 정의'!$O$2)^2+(U169-'포지션 정의'!$P$2)^2)/3)/'판정 기준'!$B$7),0)</f>
        <v>72</v>
      </c>
      <c r="AC169" s="24" t="n">
        <f aca="false">ROUND(100*(1-SQRT(((S169-'포지션 정의'!$N$3)^2+(T169-'포지션 정의'!$O$3)^2+(U169-'포지션 정의'!$P$3)^2)/3)/'판정 기준'!$B$7),0)</f>
        <v>65</v>
      </c>
      <c r="AD169" s="24" t="n">
        <f aca="false">ROUND(100*(1-SQRT(((S169-'포지션 정의'!$N$4)^2+(T169-'포지션 정의'!$O$4)^2+(U169-'포지션 정의'!$P$4)^2)/3)/'판정 기준'!$B$7),0)</f>
        <v>74</v>
      </c>
      <c r="AE169" s="24" t="n">
        <f aca="false">ROUND(100*(1-SQRT(((S169-'포지션 정의'!$N$5)^2+(T169-'포지션 정의'!$O$5)^2+(U169-'포지션 정의'!$P$5)^2)/3)/'판정 기준'!$B$7),0)</f>
        <v>66</v>
      </c>
      <c r="AF169" s="24" t="n">
        <f aca="false">ROUND(100*(1-SQRT(((S169-'포지션 정의'!$N$6)^2+(T169-'포지션 정의'!$O$6)^2+(U169-'포지션 정의'!$P$6)^2)/3)/'판정 기준'!$B$7),0)</f>
        <v>74</v>
      </c>
      <c r="AG169" s="24" t="n">
        <f aca="false">ROUND(100*(1-SQRT(((S169-'포지션 정의'!$N$7)^2+(T169-'포지션 정의'!$O$7)^2+(U169-'포지션 정의'!$P$7)^2)/3)/'판정 기준'!$B$7),0)</f>
        <v>64</v>
      </c>
      <c r="AH169" s="24" t="n">
        <f aca="false">ROUND(100*(1-SQRT(((S169-'포지션 정의'!$N$8)^2+(T169-'포지션 정의'!$O$8)^2+(U169-'포지션 정의'!$P$8)^2)/3)/'판정 기준'!$B$7),0)</f>
        <v>86</v>
      </c>
      <c r="AI169" s="24" t="n">
        <f aca="false">ROUND(100*(1-SQRT(((S169-'포지션 정의'!$N$9)^2+(T169-'포지션 정의'!$O$9)^2+(U169-'포지션 정의'!$P$9)^2)/3)/'판정 기준'!$B$7),0)</f>
        <v>58</v>
      </c>
      <c r="AJ169" s="23" t="str">
        <f aca="false">IF(G169&gt;='판정 기준'!$B$8,"경기긴장도, ","")&amp;IF(Q169&gt;='판정 기준'!$B$8,"사회적 도움 활용, ","")&amp;IF(K169&gt;='판정 기준'!$B$8,"경기 준비 능력, ","")&amp;IF(N169&gt;='판정 기준'!$B$8,"실수 후 회복력, ","")&amp;IF(P169&gt;='판정 기준'!$B$8,"자기 통제력, ","")</f>
        <v/>
      </c>
      <c r="AK169" s="23" t="n">
        <f aca="false">IF(AND(G169&lt;'판정 기준'!$B$8,OR(AJ169&lt;&gt;"",AP169&lt;&gt;"경기긴장도")),G169,0)</f>
        <v>3.2</v>
      </c>
      <c r="AL169" s="23" t="n">
        <f aca="false">IF(AND(Q169&lt;'판정 기준'!$B$8,OR(AJ169&lt;&gt;"",AP169&lt;&gt;"사회적 도움 활용")),Q169,0)</f>
        <v>4</v>
      </c>
      <c r="AM169" s="23" t="n">
        <f aca="false">IF(AND(K169&lt;'판정 기준'!$B$8,OR(AJ169&lt;&gt;"",AP169&lt;&gt;"경기 준비 능력")),K169,0)</f>
        <v>3</v>
      </c>
      <c r="AN169" s="23" t="n">
        <f aca="false">IF(AND(N169&lt;'판정 기준'!$B$8,OR(AJ169&lt;&gt;"",AP169&lt;&gt;"실수 후 회복력")),N169,0)</f>
        <v>3.3</v>
      </c>
      <c r="AO169" s="23" t="n">
        <f aca="false">IF(AND(P169&lt;'판정 기준'!$B$8,OR(AJ169&lt;&gt;"",AP169&lt;&gt;"자기 통제력")),P169,0)</f>
        <v>0</v>
      </c>
      <c r="AP169" s="23" t="str">
        <f aca="false">IF(Q169=MAX(G169,Q169,K169,N169,P169),"사회적 도움 활용",IF(P169=MAX(G169,Q169,K169,N169,P169),"자기 통제력",IF(G169=MAX(G169,Q169,K169,N169,P169),"경기긴장도",IF(K169=MAX(G169,Q169,K169,N169,P169),"경기 준비 능력","실수 후 회복력"))))</f>
        <v>자기 통제력</v>
      </c>
    </row>
    <row r="170" customFormat="false" ht="17.15" hidden="false" customHeight="false" outlineLevel="0" collapsed="false">
      <c r="A170" s="13" t="s">
        <v>220</v>
      </c>
      <c r="B170" s="13" t="s">
        <v>187</v>
      </c>
      <c r="C170" s="13" t="s">
        <v>378</v>
      </c>
      <c r="D170" s="14" t="n">
        <v>46141</v>
      </c>
      <c r="E170" s="41" t="s">
        <v>198</v>
      </c>
      <c r="F170" s="42" t="n">
        <v>5.8</v>
      </c>
      <c r="G170" s="42" t="n">
        <v>5.8</v>
      </c>
      <c r="H170" s="42" t="n">
        <v>5.7</v>
      </c>
      <c r="I170" s="42" t="n">
        <v>5.8</v>
      </c>
      <c r="J170" s="42" t="n">
        <v>5.5</v>
      </c>
      <c r="K170" s="42" t="n">
        <v>4.5</v>
      </c>
      <c r="L170" s="42" t="n">
        <v>4.5</v>
      </c>
      <c r="M170" s="42" t="n">
        <v>4.6</v>
      </c>
      <c r="N170" s="42" t="n">
        <v>2.3</v>
      </c>
      <c r="O170" s="42" t="n">
        <v>2.7</v>
      </c>
      <c r="P170" s="42" t="n">
        <v>5.3</v>
      </c>
      <c r="Q170" s="42" t="n">
        <v>6</v>
      </c>
      <c r="R170" s="42" t="n">
        <v>6</v>
      </c>
      <c r="S170" s="37" t="n">
        <f aca="false">AVERAGE(G170:J170)</f>
        <v>5.7</v>
      </c>
      <c r="T170" s="37" t="n">
        <f aca="false">AVERAGE(K170:M170)</f>
        <v>4.53333333333333</v>
      </c>
      <c r="U170" s="37" t="n">
        <f aca="false">AVERAGE(N170:O170)</f>
        <v>2.5</v>
      </c>
      <c r="V170" s="23" t="str">
        <f aca="false">IF(S170&gt;='판정 기준'!$B$3,"H","L")&amp;IF(T170&gt;='판정 기준'!$B$3,"H","L")&amp;IF(U170&gt;='판정 기준'!$B$3,"H","L")</f>
        <v>HHL</v>
      </c>
      <c r="W170" s="36" t="str">
        <f aca="false">INDEX('포지션 정의'!$A$2:$A$9,MATCH(V170,'포지션 정의'!$D$2:$D$9,0))</f>
        <v>B</v>
      </c>
      <c r="X170" s="36" t="str">
        <f aca="false">INDEX('포지션 정의'!$B$2:$B$9,MATCH(V170,'포지션 정의'!$D$2:$D$9,0))</f>
        <v>책임감 설계자형</v>
      </c>
      <c r="Y170" s="43" t="str">
        <f aca="false">IF(AJ170="","가장 높은 지표: "&amp;AP170,LEFT(AJ170,LEN(AJ170)-2))</f>
        <v>경기긴장도, 사회적 도움 활용, 자기 통제력</v>
      </c>
      <c r="Z170" s="43" t="str">
        <f aca="false">IF(MAX(AK170:AO170)=0,"심화: "&amp;IF(N170=MIN(G170,Q170,K170,N170,P170),"실수 후 회복력",IF(K170=MIN(G170,Q170,K170,N170,P170),"경기 준비 능력",IF(G170=MIN(G170,Q170,K170,N170,P170),"경기긴장도",IF(P170=MIN(G170,Q170,K170,N170,P170),"자기 통제력","사회적 도움 활용")))),IF(MAX(AK170:AO170)&gt;='판정 기준'!$B$8-'판정 기준'!$B$4,IF(AN170=MAX(AK170:AO170),"실수 후 회복력",IF(AM170=MAX(AK170:AO170),"경기 준비 능력",IF(AK170=MAX(AK170:AO170),"경기긴장도",IF(AO170=MAX(AK170:AO170),"자기 통제력","사회적 도움 활용")))),IF(AN170&gt;0,"실수 후 회복력",IF(AM170&gt;0,"경기 준비 능력",IF(AK170&gt;0,"경기긴장도",IF(AO170&gt;0,"자기 통제력","사회적 도움 활용"))))))</f>
        <v>경기 준비 능력</v>
      </c>
      <c r="AA170" s="43" t="str">
        <f aca="false">INDEX('포지션 정의'!$L$2:$L$9,MATCH(V170,'포지션 정의'!$D$2:$D$9,0))</f>
        <v>해리 케인 · 토니 크로스 · 필립 람</v>
      </c>
      <c r="AB170" s="24" t="n">
        <f aca="false">ROUND(100*(1-SQRT(((S170-'포지션 정의'!$N$2)^2+(T170-'포지션 정의'!$O$2)^2+(U170-'포지션 정의'!$P$2)^2)/3)/'판정 기준'!$B$7),0)</f>
        <v>72</v>
      </c>
      <c r="AC170" s="24" t="n">
        <f aca="false">ROUND(100*(1-SQRT(((S170-'포지션 정의'!$N$3)^2+(T170-'포지션 정의'!$O$3)^2+(U170-'포지션 정의'!$P$3)^2)/3)/'판정 기준'!$B$7),0)</f>
        <v>82</v>
      </c>
      <c r="AD170" s="24" t="n">
        <f aca="false">ROUND(100*(1-SQRT(((S170-'포지션 정의'!$N$4)^2+(T170-'포지션 정의'!$O$4)^2+(U170-'포지션 정의'!$P$4)^2)/3)/'판정 기준'!$B$7),0)</f>
        <v>82</v>
      </c>
      <c r="AE170" s="24" t="n">
        <f aca="false">ROUND(100*(1-SQRT(((S170-'포지션 정의'!$N$5)^2+(T170-'포지션 정의'!$O$5)^2+(U170-'포지션 정의'!$P$5)^2)/3)/'판정 기준'!$B$7),0)</f>
        <v>67</v>
      </c>
      <c r="AF170" s="24" t="n">
        <f aca="false">ROUND(100*(1-SQRT(((S170-'포지션 정의'!$N$6)^2+(T170-'포지션 정의'!$O$6)^2+(U170-'포지션 정의'!$P$6)^2)/3)/'판정 기준'!$B$7),0)</f>
        <v>61</v>
      </c>
      <c r="AG170" s="24" t="n">
        <f aca="false">ROUND(100*(1-SQRT(((S170-'포지션 정의'!$N$7)^2+(T170-'포지션 정의'!$O$7)^2+(U170-'포지션 정의'!$P$7)^2)/3)/'판정 기준'!$B$7),0)</f>
        <v>61</v>
      </c>
      <c r="AH170" s="24" t="n">
        <f aca="false">ROUND(100*(1-SQRT(((S170-'포지션 정의'!$N$8)^2+(T170-'포지션 정의'!$O$8)^2+(U170-'포지션 정의'!$P$8)^2)/3)/'판정 기준'!$B$7),0)</f>
        <v>72</v>
      </c>
      <c r="AI170" s="24" t="n">
        <f aca="false">ROUND(100*(1-SQRT(((S170-'포지션 정의'!$N$9)^2+(T170-'포지션 정의'!$O$9)^2+(U170-'포지션 정의'!$P$9)^2)/3)/'판정 기준'!$B$7),0)</f>
        <v>67</v>
      </c>
      <c r="AJ170" s="23" t="str">
        <f aca="false">IF(G170&gt;='판정 기준'!$B$8,"경기긴장도, ","")&amp;IF(Q170&gt;='판정 기준'!$B$8,"사회적 도움 활용, ","")&amp;IF(K170&gt;='판정 기준'!$B$8,"경기 준비 능력, ","")&amp;IF(N170&gt;='판정 기준'!$B$8,"실수 후 회복력, ","")&amp;IF(P170&gt;='판정 기준'!$B$8,"자기 통제력, ","")</f>
        <v>경기긴장도, 사회적 도움 활용, 자기 통제력, </v>
      </c>
      <c r="AK170" s="23" t="n">
        <f aca="false">IF(AND(G170&lt;'판정 기준'!$B$8,OR(AJ170&lt;&gt;"",AP170&lt;&gt;"경기긴장도")),G170,0)</f>
        <v>0</v>
      </c>
      <c r="AL170" s="23" t="n">
        <f aca="false">IF(AND(Q170&lt;'판정 기준'!$B$8,OR(AJ170&lt;&gt;"",AP170&lt;&gt;"사회적 도움 활용")),Q170,0)</f>
        <v>0</v>
      </c>
      <c r="AM170" s="23" t="n">
        <f aca="false">IF(AND(K170&lt;'판정 기준'!$B$8,OR(AJ170&lt;&gt;"",AP170&lt;&gt;"경기 준비 능력")),K170,0)</f>
        <v>4.5</v>
      </c>
      <c r="AN170" s="23" t="n">
        <f aca="false">IF(AND(N170&lt;'판정 기준'!$B$8,OR(AJ170&lt;&gt;"",AP170&lt;&gt;"실수 후 회복력")),N170,0)</f>
        <v>2.3</v>
      </c>
      <c r="AO170" s="23" t="n">
        <f aca="false">IF(AND(P170&lt;'판정 기준'!$B$8,OR(AJ170&lt;&gt;"",AP170&lt;&gt;"자기 통제력")),P170,0)</f>
        <v>0</v>
      </c>
      <c r="AP170" s="23" t="str">
        <f aca="false">IF(Q170=MAX(G170,Q170,K170,N170,P170),"사회적 도움 활용",IF(P170=MAX(G170,Q170,K170,N170,P170),"자기 통제력",IF(G170=MAX(G170,Q170,K170,N170,P170),"경기긴장도",IF(K170=MAX(G170,Q170,K170,N170,P170),"경기 준비 능력","실수 후 회복력"))))</f>
        <v>사회적 도움 활용</v>
      </c>
    </row>
    <row r="171" customFormat="false" ht="17.15" hidden="false" customHeight="false" outlineLevel="0" collapsed="false">
      <c r="A171" s="13" t="s">
        <v>390</v>
      </c>
      <c r="B171" s="13" t="s">
        <v>187</v>
      </c>
      <c r="C171" s="13" t="s">
        <v>378</v>
      </c>
      <c r="D171" s="14" t="n">
        <v>46141</v>
      </c>
      <c r="E171" s="41" t="s">
        <v>198</v>
      </c>
      <c r="F171" s="42" t="n">
        <v>4.2</v>
      </c>
      <c r="G171" s="42" t="n">
        <v>4.1</v>
      </c>
      <c r="H171" s="42" t="n">
        <v>4</v>
      </c>
      <c r="I171" s="42" t="n">
        <v>4.6</v>
      </c>
      <c r="J171" s="42" t="n">
        <v>3.8</v>
      </c>
      <c r="K171" s="42" t="n">
        <v>4.8</v>
      </c>
      <c r="L171" s="42" t="n">
        <v>4.5</v>
      </c>
      <c r="M171" s="42" t="n">
        <v>5</v>
      </c>
      <c r="N171" s="42" t="n">
        <v>3.4</v>
      </c>
      <c r="O171" s="42" t="n">
        <v>3.7</v>
      </c>
      <c r="P171" s="42" t="n">
        <v>4.8</v>
      </c>
      <c r="Q171" s="42" t="n">
        <v>5.4</v>
      </c>
      <c r="R171" s="42" t="n">
        <v>5.3</v>
      </c>
      <c r="S171" s="37" t="n">
        <f aca="false">AVERAGE(G171:J171)</f>
        <v>4.125</v>
      </c>
      <c r="T171" s="37" t="n">
        <f aca="false">AVERAGE(K171:M171)</f>
        <v>4.76666666666667</v>
      </c>
      <c r="U171" s="37" t="n">
        <f aca="false">AVERAGE(N171:O171)</f>
        <v>3.55</v>
      </c>
      <c r="V171" s="23" t="str">
        <f aca="false">IF(S171&gt;='판정 기준'!$B$3,"H","L")&amp;IF(T171&gt;='판정 기준'!$B$3,"H","L")&amp;IF(U171&gt;='판정 기준'!$B$3,"H","L")</f>
        <v>LHL</v>
      </c>
      <c r="W171" s="36" t="str">
        <f aca="false">INDEX('포지션 정의'!$A$2:$A$9,MATCH(V171,'포지션 정의'!$D$2:$D$9,0))</f>
        <v>A</v>
      </c>
      <c r="X171" s="36" t="str">
        <f aca="false">INDEX('포지션 정의'!$B$2:$B$9,MATCH(V171,'포지션 정의'!$D$2:$D$9,0))</f>
        <v>섬세한 준비형</v>
      </c>
      <c r="Y171" s="43" t="str">
        <f aca="false">IF(AJ171="","가장 높은 지표: "&amp;AP171,LEFT(AJ171,LEN(AJ171)-2))</f>
        <v>사회적 도움 활용, 경기 준비 능력, 자기 통제력</v>
      </c>
      <c r="Z171" s="43" t="str">
        <f aca="false">IF(MAX(AK171:AO171)=0,"심화: "&amp;IF(N171=MIN(G171,Q171,K171,N171,P171),"실수 후 회복력",IF(K171=MIN(G171,Q171,K171,N171,P171),"경기 준비 능력",IF(G171=MIN(G171,Q171,K171,N171,P171),"경기긴장도",IF(P171=MIN(G171,Q171,K171,N171,P171),"자기 통제력","사회적 도움 활용")))),IF(MAX(AK171:AO171)&gt;='판정 기준'!$B$8-'판정 기준'!$B$4,IF(AN171=MAX(AK171:AO171),"실수 후 회복력",IF(AM171=MAX(AK171:AO171),"경기 준비 능력",IF(AK171=MAX(AK171:AO171),"경기긴장도",IF(AO171=MAX(AK171:AO171),"자기 통제력","사회적 도움 활용")))),IF(AN171&gt;0,"실수 후 회복력",IF(AM171&gt;0,"경기 준비 능력",IF(AK171&gt;0,"경기긴장도",IF(AO171&gt;0,"자기 통제력","사회적 도움 활용"))))))</f>
        <v>실수 후 회복력</v>
      </c>
      <c r="AA171" s="43" t="str">
        <f aca="false">INDEX('포지션 정의'!$L$2:$L$9,MATCH(V171,'포지션 정의'!$D$2:$D$9,0))</f>
        <v>로베르트 레반도프스키 · 제임스 밀너 · 마르틴 외데고르</v>
      </c>
      <c r="AB171" s="24" t="n">
        <f aca="false">ROUND(100*(1-SQRT(((S171-'포지션 정의'!$N$2)^2+(T171-'포지션 정의'!$O$2)^2+(U171-'포지션 정의'!$P$2)^2)/3)/'판정 기준'!$B$7),0)</f>
        <v>93</v>
      </c>
      <c r="AC171" s="24" t="n">
        <f aca="false">ROUND(100*(1-SQRT(((S171-'포지션 정의'!$N$3)^2+(T171-'포지션 정의'!$O$3)^2+(U171-'포지션 정의'!$P$3)^2)/3)/'판정 기준'!$B$7),0)</f>
        <v>86</v>
      </c>
      <c r="AD171" s="24" t="n">
        <f aca="false">ROUND(100*(1-SQRT(((S171-'포지션 정의'!$N$4)^2+(T171-'포지션 정의'!$O$4)^2+(U171-'포지션 정의'!$P$4)^2)/3)/'판정 기준'!$B$7),0)</f>
        <v>83</v>
      </c>
      <c r="AE171" s="24" t="n">
        <f aca="false">ROUND(100*(1-SQRT(((S171-'포지션 정의'!$N$5)^2+(T171-'포지션 정의'!$O$5)^2+(U171-'포지션 정의'!$P$5)^2)/3)/'판정 기준'!$B$7),0)</f>
        <v>75</v>
      </c>
      <c r="AF171" s="24" t="n">
        <f aca="false">ROUND(100*(1-SQRT(((S171-'포지션 정의'!$N$6)^2+(T171-'포지션 정의'!$O$6)^2+(U171-'포지션 정의'!$P$6)^2)/3)/'판정 기준'!$B$7),0)</f>
        <v>78</v>
      </c>
      <c r="AG171" s="24" t="n">
        <f aca="false">ROUND(100*(1-SQRT(((S171-'포지션 정의'!$N$7)^2+(T171-'포지션 정의'!$O$7)^2+(U171-'포지션 정의'!$P$7)^2)/3)/'판정 기준'!$B$7),0)</f>
        <v>80</v>
      </c>
      <c r="AH171" s="24" t="n">
        <f aca="false">ROUND(100*(1-SQRT(((S171-'포지션 정의'!$N$8)^2+(T171-'포지션 정의'!$O$8)^2+(U171-'포지션 정의'!$P$8)^2)/3)/'판정 기준'!$B$7),0)</f>
        <v>88</v>
      </c>
      <c r="AI171" s="24" t="n">
        <f aca="false">ROUND(100*(1-SQRT(((S171-'포지션 정의'!$N$9)^2+(T171-'포지션 정의'!$O$9)^2+(U171-'포지션 정의'!$P$9)^2)/3)/'판정 기준'!$B$7),0)</f>
        <v>77</v>
      </c>
      <c r="AJ171" s="23" t="str">
        <f aca="false">IF(G171&gt;='판정 기준'!$B$8,"경기긴장도, ","")&amp;IF(Q171&gt;='판정 기준'!$B$8,"사회적 도움 활용, ","")&amp;IF(K171&gt;='판정 기준'!$B$8,"경기 준비 능력, ","")&amp;IF(N171&gt;='판정 기준'!$B$8,"실수 후 회복력, ","")&amp;IF(P171&gt;='판정 기준'!$B$8,"자기 통제력, ","")</f>
        <v>사회적 도움 활용, 경기 준비 능력, 자기 통제력, </v>
      </c>
      <c r="AK171" s="23" t="n">
        <f aca="false">IF(AND(G171&lt;'판정 기준'!$B$8,OR(AJ171&lt;&gt;"",AP171&lt;&gt;"경기긴장도")),G171,0)</f>
        <v>4.1</v>
      </c>
      <c r="AL171" s="23" t="n">
        <f aca="false">IF(AND(Q171&lt;'판정 기준'!$B$8,OR(AJ171&lt;&gt;"",AP171&lt;&gt;"사회적 도움 활용")),Q171,0)</f>
        <v>0</v>
      </c>
      <c r="AM171" s="23" t="n">
        <f aca="false">IF(AND(K171&lt;'판정 기준'!$B$8,OR(AJ171&lt;&gt;"",AP171&lt;&gt;"경기 준비 능력")),K171,0)</f>
        <v>0</v>
      </c>
      <c r="AN171" s="23" t="n">
        <f aca="false">IF(AND(N171&lt;'판정 기준'!$B$8,OR(AJ171&lt;&gt;"",AP171&lt;&gt;"실수 후 회복력")),N171,0)</f>
        <v>3.4</v>
      </c>
      <c r="AO171" s="23" t="n">
        <f aca="false">IF(AND(P171&lt;'판정 기준'!$B$8,OR(AJ171&lt;&gt;"",AP171&lt;&gt;"자기 통제력")),P171,0)</f>
        <v>0</v>
      </c>
      <c r="AP171" s="23" t="str">
        <f aca="false">IF(Q171=MAX(G171,Q171,K171,N171,P171),"사회적 도움 활용",IF(P171=MAX(G171,Q171,K171,N171,P171),"자기 통제력",IF(G171=MAX(G171,Q171,K171,N171,P171),"경기긴장도",IF(K171=MAX(G171,Q171,K171,N171,P171),"경기 준비 능력","실수 후 회복력"))))</f>
        <v>사회적 도움 활용</v>
      </c>
    </row>
    <row r="172" customFormat="false" ht="17.15" hidden="false" customHeight="false" outlineLevel="0" collapsed="false">
      <c r="A172" s="13" t="s">
        <v>391</v>
      </c>
      <c r="B172" s="13" t="s">
        <v>187</v>
      </c>
      <c r="C172" s="13" t="s">
        <v>392</v>
      </c>
      <c r="D172" s="14" t="n">
        <v>46141</v>
      </c>
      <c r="E172" s="41" t="s">
        <v>198</v>
      </c>
      <c r="F172" s="42" t="n">
        <v>4.5</v>
      </c>
      <c r="G172" s="42" t="n">
        <v>4.4</v>
      </c>
      <c r="H172" s="42" t="n">
        <v>4.2</v>
      </c>
      <c r="I172" s="42" t="n">
        <v>4.4</v>
      </c>
      <c r="J172" s="42" t="n">
        <v>4.5</v>
      </c>
      <c r="K172" s="42" t="n">
        <v>3.7</v>
      </c>
      <c r="L172" s="42" t="n">
        <v>3.8</v>
      </c>
      <c r="M172" s="42" t="n">
        <v>3.6</v>
      </c>
      <c r="N172" s="42" t="n">
        <v>4.9</v>
      </c>
      <c r="O172" s="42" t="n">
        <v>4.8</v>
      </c>
      <c r="P172" s="42" t="n">
        <v>4.8</v>
      </c>
      <c r="Q172" s="42" t="n">
        <v>4</v>
      </c>
      <c r="R172" s="42" t="n">
        <v>5</v>
      </c>
      <c r="S172" s="37" t="n">
        <f aca="false">AVERAGE(G172:J172)</f>
        <v>4.375</v>
      </c>
      <c r="T172" s="37" t="n">
        <f aca="false">AVERAGE(K172:M172)</f>
        <v>3.7</v>
      </c>
      <c r="U172" s="37" t="n">
        <f aca="false">AVERAGE(N172:O172)</f>
        <v>4.85</v>
      </c>
      <c r="V172" s="23" t="str">
        <f aca="false">IF(S172&gt;='판정 기준'!$B$3,"H","L")&amp;IF(T172&gt;='판정 기준'!$B$3,"H","L")&amp;IF(U172&gt;='판정 기준'!$B$3,"H","L")</f>
        <v>LLH</v>
      </c>
      <c r="W172" s="36" t="str">
        <f aca="false">INDEX('포지션 정의'!$A$2:$A$9,MATCH(V172,'포지션 정의'!$D$2:$D$9,0))</f>
        <v>E</v>
      </c>
      <c r="X172" s="36" t="str">
        <f aca="false">INDEX('포지션 정의'!$B$2:$B$9,MATCH(V172,'포지션 정의'!$D$2:$D$9,0))</f>
        <v>오뚝이 회복형</v>
      </c>
      <c r="Y172" s="43" t="str">
        <f aca="false">IF(AJ172="","가장 높은 지표: "&amp;AP172,LEFT(AJ172,LEN(AJ172)-2))</f>
        <v>실수 후 회복력, 자기 통제력</v>
      </c>
      <c r="Z172" s="43" t="str">
        <f aca="false">IF(MAX(AK172:AO172)=0,"심화: "&amp;IF(N172=MIN(G172,Q172,K172,N172,P172),"실수 후 회복력",IF(K172=MIN(G172,Q172,K172,N172,P172),"경기 준비 능력",IF(G172=MIN(G172,Q172,K172,N172,P172),"경기긴장도",IF(P172=MIN(G172,Q172,K172,N172,P172),"자기 통제력","사회적 도움 활용")))),IF(MAX(AK172:AO172)&gt;='판정 기준'!$B$8-'판정 기준'!$B$4,IF(AN172=MAX(AK172:AO172),"실수 후 회복력",IF(AM172=MAX(AK172:AO172),"경기 준비 능력",IF(AK172=MAX(AK172:AO172),"경기긴장도",IF(AO172=MAX(AK172:AO172),"자기 통제력","사회적 도움 활용")))),IF(AN172&gt;0,"실수 후 회복력",IF(AM172&gt;0,"경기 준비 능력",IF(AK172&gt;0,"경기긴장도",IF(AO172&gt;0,"자기 통제력","사회적 도움 활용"))))))</f>
        <v>경기 준비 능력</v>
      </c>
      <c r="AA172" s="43" t="str">
        <f aca="false">INDEX('포지션 정의'!$L$2:$L$9,MATCH(V172,'포지션 정의'!$D$2:$D$9,0))</f>
        <v>올리비에 지루 · 디에고 포를란 · 라다멜 팔카오</v>
      </c>
      <c r="AB172" s="24" t="n">
        <f aca="false">ROUND(100*(1-SQRT(((S172-'포지션 정의'!$N$2)^2+(T172-'포지션 정의'!$O$2)^2+(U172-'포지션 정의'!$P$2)^2)/3)/'판정 기준'!$B$7),0)</f>
        <v>78</v>
      </c>
      <c r="AC172" s="24" t="n">
        <f aca="false">ROUND(100*(1-SQRT(((S172-'포지션 정의'!$N$3)^2+(T172-'포지션 정의'!$O$3)^2+(U172-'포지션 정의'!$P$3)^2)/3)/'판정 기준'!$B$7),0)</f>
        <v>77</v>
      </c>
      <c r="AD172" s="24" t="n">
        <f aca="false">ROUND(100*(1-SQRT(((S172-'포지션 정의'!$N$4)^2+(T172-'포지션 정의'!$O$4)^2+(U172-'포지션 정의'!$P$4)^2)/3)/'판정 기준'!$B$7),0)</f>
        <v>85</v>
      </c>
      <c r="AE172" s="24" t="n">
        <f aca="false">ROUND(100*(1-SQRT(((S172-'포지션 정의'!$N$5)^2+(T172-'포지션 정의'!$O$5)^2+(U172-'포지션 정의'!$P$5)^2)/3)/'판정 기준'!$B$7),0)</f>
        <v>90</v>
      </c>
      <c r="AF172" s="24" t="n">
        <f aca="false">ROUND(100*(1-SQRT(((S172-'포지션 정의'!$N$6)^2+(T172-'포지션 정의'!$O$6)^2+(U172-'포지션 정의'!$P$6)^2)/3)/'판정 기준'!$B$7),0)</f>
        <v>92</v>
      </c>
      <c r="AG172" s="24" t="n">
        <f aca="false">ROUND(100*(1-SQRT(((S172-'포지션 정의'!$N$7)^2+(T172-'포지션 정의'!$O$7)^2+(U172-'포지션 정의'!$P$7)^2)/3)/'판정 기준'!$B$7),0)</f>
        <v>81</v>
      </c>
      <c r="AH172" s="24" t="n">
        <f aca="false">ROUND(100*(1-SQRT(((S172-'포지션 정의'!$N$8)^2+(T172-'포지션 정의'!$O$8)^2+(U172-'포지션 정의'!$P$8)^2)/3)/'판정 기준'!$B$7),0)</f>
        <v>86</v>
      </c>
      <c r="AI172" s="24" t="n">
        <f aca="false">ROUND(100*(1-SQRT(((S172-'포지션 정의'!$N$9)^2+(T172-'포지션 정의'!$O$9)^2+(U172-'포지션 정의'!$P$9)^2)/3)/'판정 기준'!$B$7),0)</f>
        <v>80</v>
      </c>
      <c r="AJ172" s="23" t="str">
        <f aca="false">IF(G172&gt;='판정 기준'!$B$8,"경기긴장도, ","")&amp;IF(Q172&gt;='판정 기준'!$B$8,"사회적 도움 활용, ","")&amp;IF(K172&gt;='판정 기준'!$B$8,"경기 준비 능력, ","")&amp;IF(N172&gt;='판정 기준'!$B$8,"실수 후 회복력, ","")&amp;IF(P172&gt;='판정 기준'!$B$8,"자기 통제력, ","")</f>
        <v>실수 후 회복력, 자기 통제력, </v>
      </c>
      <c r="AK172" s="23" t="n">
        <f aca="false">IF(AND(G172&lt;'판정 기준'!$B$8,OR(AJ172&lt;&gt;"",AP172&lt;&gt;"경기긴장도")),G172,0)</f>
        <v>4.4</v>
      </c>
      <c r="AL172" s="23" t="n">
        <f aca="false">IF(AND(Q172&lt;'판정 기준'!$B$8,OR(AJ172&lt;&gt;"",AP172&lt;&gt;"사회적 도움 활용")),Q172,0)</f>
        <v>4</v>
      </c>
      <c r="AM172" s="23" t="n">
        <f aca="false">IF(AND(K172&lt;'판정 기준'!$B$8,OR(AJ172&lt;&gt;"",AP172&lt;&gt;"경기 준비 능력")),K172,0)</f>
        <v>3.7</v>
      </c>
      <c r="AN172" s="23" t="n">
        <f aca="false">IF(AND(N172&lt;'판정 기준'!$B$8,OR(AJ172&lt;&gt;"",AP172&lt;&gt;"실수 후 회복력")),N172,0)</f>
        <v>0</v>
      </c>
      <c r="AO172" s="23" t="n">
        <f aca="false">IF(AND(P172&lt;'판정 기준'!$B$8,OR(AJ172&lt;&gt;"",AP172&lt;&gt;"자기 통제력")),P172,0)</f>
        <v>0</v>
      </c>
      <c r="AP172" s="23" t="str">
        <f aca="false">IF(Q172=MAX(G172,Q172,K172,N172,P172),"사회적 도움 활용",IF(P172=MAX(G172,Q172,K172,N172,P172),"자기 통제력",IF(G172=MAX(G172,Q172,K172,N172,P172),"경기긴장도",IF(K172=MAX(G172,Q172,K172,N172,P172),"경기 준비 능력","실수 후 회복력"))))</f>
        <v>실수 후 회복력</v>
      </c>
    </row>
    <row r="173" customFormat="false" ht="17.15" hidden="false" customHeight="false" outlineLevel="0" collapsed="false">
      <c r="A173" s="13" t="s">
        <v>393</v>
      </c>
      <c r="B173" s="13" t="s">
        <v>187</v>
      </c>
      <c r="C173" s="13" t="s">
        <v>392</v>
      </c>
      <c r="D173" s="14" t="n">
        <v>46141</v>
      </c>
      <c r="E173" s="41" t="s">
        <v>198</v>
      </c>
      <c r="F173" s="42" t="n">
        <v>5.8</v>
      </c>
      <c r="G173" s="42" t="n">
        <v>5.6</v>
      </c>
      <c r="H173" s="42" t="n">
        <v>5.2</v>
      </c>
      <c r="I173" s="42" t="n">
        <v>6</v>
      </c>
      <c r="J173" s="42" t="n">
        <v>5.3</v>
      </c>
      <c r="K173" s="42" t="n">
        <v>5.7</v>
      </c>
      <c r="L173" s="42" t="n">
        <v>5.8</v>
      </c>
      <c r="M173" s="42" t="n">
        <v>5.6</v>
      </c>
      <c r="N173" s="42" t="n">
        <v>6</v>
      </c>
      <c r="O173" s="42" t="n">
        <v>6</v>
      </c>
      <c r="P173" s="42" t="n">
        <v>5.8</v>
      </c>
      <c r="Q173" s="42" t="n">
        <v>6</v>
      </c>
      <c r="R173" s="42" t="n">
        <v>6</v>
      </c>
      <c r="S173" s="37" t="n">
        <f aca="false">AVERAGE(G173:J173)</f>
        <v>5.525</v>
      </c>
      <c r="T173" s="37" t="n">
        <f aca="false">AVERAGE(K173:M173)</f>
        <v>5.7</v>
      </c>
      <c r="U173" s="37" t="n">
        <f aca="false">AVERAGE(N173:O173)</f>
        <v>6</v>
      </c>
      <c r="V173" s="23" t="str">
        <f aca="false">IF(S173&gt;='판정 기준'!$B$3,"H","L")&amp;IF(T173&gt;='판정 기준'!$B$3,"H","L")&amp;IF(U173&gt;='판정 기준'!$B$3,"H","L")</f>
        <v>HHH</v>
      </c>
      <c r="W173" s="36" t="str">
        <f aca="false">INDEX('포지션 정의'!$A$2:$A$9,MATCH(V173,'포지션 정의'!$D$2:$D$9,0))</f>
        <v>H</v>
      </c>
      <c r="X173" s="36" t="str">
        <f aca="false">INDEX('포지션 정의'!$B$2:$B$9,MATCH(V173,'포지션 정의'!$D$2:$D$9,0))</f>
        <v>올라운드 밸런스형</v>
      </c>
      <c r="Y173" s="43" t="str">
        <f aca="false">IF(AJ173="","가장 높은 지표: "&amp;AP173,LEFT(AJ173,LEN(AJ173)-2))</f>
        <v>경기긴장도, 사회적 도움 활용, 경기 준비 능력, 실수 후 회복력, 자기 통제력</v>
      </c>
      <c r="Z173" s="43" t="str">
        <f aca="false">IF(MAX(AK173:AO173)=0,"심화: "&amp;IF(N173=MIN(G173,Q173,K173,N173,P173),"실수 후 회복력",IF(K173=MIN(G173,Q173,K173,N173,P173),"경기 준비 능력",IF(G173=MIN(G173,Q173,K173,N173,P173),"경기긴장도",IF(P173=MIN(G173,Q173,K173,N173,P173),"자기 통제력","사회적 도움 활용")))),IF(MAX(AK173:AO173)&gt;='판정 기준'!$B$8-'판정 기준'!$B$4,IF(AN173=MAX(AK173:AO173),"실수 후 회복력",IF(AM173=MAX(AK173:AO173),"경기 준비 능력",IF(AK173=MAX(AK173:AO173),"경기긴장도",IF(AO173=MAX(AK173:AO173),"자기 통제력","사회적 도움 활용")))),IF(AN173&gt;0,"실수 후 회복력",IF(AM173&gt;0,"경기 준비 능력",IF(AK173&gt;0,"경기긴장도",IF(AO173&gt;0,"자기 통제력","사회적 도움 활용"))))))</f>
        <v>심화: 경기긴장도</v>
      </c>
      <c r="AA173" s="43" t="str">
        <f aca="false">INDEX('포지션 정의'!$L$2:$L$9,MATCH(V173,'포지션 정의'!$D$2:$D$9,0))</f>
        <v>크리스티아누 호날두 · 루카 모드리치 · 버질 반 다이크</v>
      </c>
      <c r="AB173" s="24" t="n">
        <f aca="false">ROUND(100*(1-SQRT(((S173-'포지션 정의'!$N$2)^2+(T173-'포지션 정의'!$O$2)^2+(U173-'포지션 정의'!$P$2)^2)/3)/'판정 기준'!$B$7),0)</f>
        <v>67</v>
      </c>
      <c r="AC173" s="24" t="n">
        <f aca="false">ROUND(100*(1-SQRT(((S173-'포지션 정의'!$N$3)^2+(T173-'포지션 정의'!$O$3)^2+(U173-'포지션 정의'!$P$3)^2)/3)/'판정 기준'!$B$7),0)</f>
        <v>74</v>
      </c>
      <c r="AD173" s="24" t="n">
        <f aca="false">ROUND(100*(1-SQRT(((S173-'포지션 정의'!$N$4)^2+(T173-'포지션 정의'!$O$4)^2+(U173-'포지션 정의'!$P$4)^2)/3)/'판정 기준'!$B$7),0)</f>
        <v>66</v>
      </c>
      <c r="AE173" s="24" t="n">
        <f aca="false">ROUND(100*(1-SQRT(((S173-'포지션 정의'!$N$5)^2+(T173-'포지션 정의'!$O$5)^2+(U173-'포지션 정의'!$P$5)^2)/3)/'판정 기준'!$B$7),0)</f>
        <v>76</v>
      </c>
      <c r="AF173" s="24" t="n">
        <f aca="false">ROUND(100*(1-SQRT(((S173-'포지션 정의'!$N$6)^2+(T173-'포지션 정의'!$O$6)^2+(U173-'포지션 정의'!$P$6)^2)/3)/'판정 기준'!$B$7),0)</f>
        <v>69</v>
      </c>
      <c r="AG173" s="24" t="n">
        <f aca="false">ROUND(100*(1-SQRT(((S173-'포지션 정의'!$N$7)^2+(T173-'포지션 정의'!$O$7)^2+(U173-'포지션 정의'!$P$7)^2)/3)/'판정 기준'!$B$7),0)</f>
        <v>77</v>
      </c>
      <c r="AH173" s="24" t="n">
        <f aca="false">ROUND(100*(1-SQRT(((S173-'포지션 정의'!$N$8)^2+(T173-'포지션 정의'!$O$8)^2+(U173-'포지션 정의'!$P$8)^2)/3)/'판정 기준'!$B$7),0)</f>
        <v>61</v>
      </c>
      <c r="AI173" s="24" t="n">
        <f aca="false">ROUND(100*(1-SQRT(((S173-'포지션 정의'!$N$9)^2+(T173-'포지션 정의'!$O$9)^2+(U173-'포지션 정의'!$P$9)^2)/3)/'판정 기준'!$B$7),0)</f>
        <v>88</v>
      </c>
      <c r="AJ173" s="23" t="str">
        <f aca="false">IF(G173&gt;='판정 기준'!$B$8,"경기긴장도, ","")&amp;IF(Q173&gt;='판정 기준'!$B$8,"사회적 도움 활용, ","")&amp;IF(K173&gt;='판정 기준'!$B$8,"경기 준비 능력, ","")&amp;IF(N173&gt;='판정 기준'!$B$8,"실수 후 회복력, ","")&amp;IF(P173&gt;='판정 기준'!$B$8,"자기 통제력, ","")</f>
        <v>경기긴장도, 사회적 도움 활용, 경기 준비 능력, 실수 후 회복력, 자기 통제력, </v>
      </c>
      <c r="AK173" s="23" t="n">
        <f aca="false">IF(AND(G173&lt;'판정 기준'!$B$8,OR(AJ173&lt;&gt;"",AP173&lt;&gt;"경기긴장도")),G173,0)</f>
        <v>0</v>
      </c>
      <c r="AL173" s="23" t="n">
        <f aca="false">IF(AND(Q173&lt;'판정 기준'!$B$8,OR(AJ173&lt;&gt;"",AP173&lt;&gt;"사회적 도움 활용")),Q173,0)</f>
        <v>0</v>
      </c>
      <c r="AM173" s="23" t="n">
        <f aca="false">IF(AND(K173&lt;'판정 기준'!$B$8,OR(AJ173&lt;&gt;"",AP173&lt;&gt;"경기 준비 능력")),K173,0)</f>
        <v>0</v>
      </c>
      <c r="AN173" s="23" t="n">
        <f aca="false">IF(AND(N173&lt;'판정 기준'!$B$8,OR(AJ173&lt;&gt;"",AP173&lt;&gt;"실수 후 회복력")),N173,0)</f>
        <v>0</v>
      </c>
      <c r="AO173" s="23" t="n">
        <f aca="false">IF(AND(P173&lt;'판정 기준'!$B$8,OR(AJ173&lt;&gt;"",AP173&lt;&gt;"자기 통제력")),P173,0)</f>
        <v>0</v>
      </c>
      <c r="AP173" s="23" t="str">
        <f aca="false">IF(Q173=MAX(G173,Q173,K173,N173,P173),"사회적 도움 활용",IF(P173=MAX(G173,Q173,K173,N173,P173),"자기 통제력",IF(G173=MAX(G173,Q173,K173,N173,P173),"경기긴장도",IF(K173=MAX(G173,Q173,K173,N173,P173),"경기 준비 능력","실수 후 회복력"))))</f>
        <v>사회적 도움 활용</v>
      </c>
    </row>
    <row r="174" customFormat="false" ht="17.15" hidden="false" customHeight="false" outlineLevel="0" collapsed="false">
      <c r="A174" s="13" t="s">
        <v>394</v>
      </c>
      <c r="B174" s="13" t="s">
        <v>187</v>
      </c>
      <c r="C174" s="13" t="s">
        <v>378</v>
      </c>
      <c r="D174" s="14" t="n">
        <v>46141</v>
      </c>
      <c r="E174" s="41" t="s">
        <v>198</v>
      </c>
      <c r="F174" s="42" t="n">
        <v>5.6</v>
      </c>
      <c r="G174" s="42" t="n">
        <v>5.8</v>
      </c>
      <c r="H174" s="42" t="n">
        <v>5.8</v>
      </c>
      <c r="I174" s="42" t="n">
        <v>5.8</v>
      </c>
      <c r="J174" s="42" t="n">
        <v>5.8</v>
      </c>
      <c r="K174" s="42" t="n">
        <v>5.3</v>
      </c>
      <c r="L174" s="42" t="n">
        <v>5</v>
      </c>
      <c r="M174" s="42" t="n">
        <v>5.6</v>
      </c>
      <c r="N174" s="42" t="n">
        <v>5.7</v>
      </c>
      <c r="O174" s="42" t="n">
        <v>5.5</v>
      </c>
      <c r="P174" s="42" t="n">
        <v>5.8</v>
      </c>
      <c r="Q174" s="42" t="n">
        <v>6</v>
      </c>
      <c r="R174" s="42" t="n">
        <v>6</v>
      </c>
      <c r="S174" s="37" t="n">
        <f aca="false">AVERAGE(G174:J174)</f>
        <v>5.8</v>
      </c>
      <c r="T174" s="37" t="n">
        <f aca="false">AVERAGE(K174:M174)</f>
        <v>5.3</v>
      </c>
      <c r="U174" s="37" t="n">
        <f aca="false">AVERAGE(N174:O174)</f>
        <v>5.6</v>
      </c>
      <c r="V174" s="23" t="str">
        <f aca="false">IF(S174&gt;='판정 기준'!$B$3,"H","L")&amp;IF(T174&gt;='판정 기준'!$B$3,"H","L")&amp;IF(U174&gt;='판정 기준'!$B$3,"H","L")</f>
        <v>HHH</v>
      </c>
      <c r="W174" s="36" t="str">
        <f aca="false">INDEX('포지션 정의'!$A$2:$A$9,MATCH(V174,'포지션 정의'!$D$2:$D$9,0))</f>
        <v>H</v>
      </c>
      <c r="X174" s="36" t="str">
        <f aca="false">INDEX('포지션 정의'!$B$2:$B$9,MATCH(V174,'포지션 정의'!$D$2:$D$9,0))</f>
        <v>올라운드 밸런스형</v>
      </c>
      <c r="Y174" s="43" t="str">
        <f aca="false">IF(AJ174="","가장 높은 지표: "&amp;AP174,LEFT(AJ174,LEN(AJ174)-2))</f>
        <v>경기긴장도, 사회적 도움 활용, 경기 준비 능력, 실수 후 회복력, 자기 통제력</v>
      </c>
      <c r="Z174" s="43" t="str">
        <f aca="false">IF(MAX(AK174:AO174)=0,"심화: "&amp;IF(N174=MIN(G174,Q174,K174,N174,P174),"실수 후 회복력",IF(K174=MIN(G174,Q174,K174,N174,P174),"경기 준비 능력",IF(G174=MIN(G174,Q174,K174,N174,P174),"경기긴장도",IF(P174=MIN(G174,Q174,K174,N174,P174),"자기 통제력","사회적 도움 활용")))),IF(MAX(AK174:AO174)&gt;='판정 기준'!$B$8-'판정 기준'!$B$4,IF(AN174=MAX(AK174:AO174),"실수 후 회복력",IF(AM174=MAX(AK174:AO174),"경기 준비 능력",IF(AK174=MAX(AK174:AO174),"경기긴장도",IF(AO174=MAX(AK174:AO174),"자기 통제력","사회적 도움 활용")))),IF(AN174&gt;0,"실수 후 회복력",IF(AM174&gt;0,"경기 준비 능력",IF(AK174&gt;0,"경기긴장도",IF(AO174&gt;0,"자기 통제력","사회적 도움 활용"))))))</f>
        <v>심화: 경기 준비 능력</v>
      </c>
      <c r="AA174" s="43" t="str">
        <f aca="false">INDEX('포지션 정의'!$L$2:$L$9,MATCH(V174,'포지션 정의'!$D$2:$D$9,0))</f>
        <v>크리스티아누 호날두 · 루카 모드리치 · 버질 반 다이크</v>
      </c>
      <c r="AB174" s="24" t="n">
        <f aca="false">ROUND(100*(1-SQRT(((S174-'포지션 정의'!$N$2)^2+(T174-'포지션 정의'!$O$2)^2+(U174-'포지션 정의'!$P$2)^2)/3)/'판정 기준'!$B$7),0)</f>
        <v>69</v>
      </c>
      <c r="AC174" s="24" t="n">
        <f aca="false">ROUND(100*(1-SQRT(((S174-'포지션 정의'!$N$3)^2+(T174-'포지션 정의'!$O$3)^2+(U174-'포지션 정의'!$P$3)^2)/3)/'판정 기준'!$B$7),0)</f>
        <v>78</v>
      </c>
      <c r="AD174" s="24" t="n">
        <f aca="false">ROUND(100*(1-SQRT(((S174-'포지션 정의'!$N$4)^2+(T174-'포지션 정의'!$O$4)^2+(U174-'포지션 정의'!$P$4)^2)/3)/'판정 기준'!$B$7),0)</f>
        <v>72</v>
      </c>
      <c r="AE174" s="24" t="n">
        <f aca="false">ROUND(100*(1-SQRT(((S174-'포지션 정의'!$N$5)^2+(T174-'포지션 정의'!$O$5)^2+(U174-'포지션 정의'!$P$5)^2)/3)/'판정 기준'!$B$7),0)</f>
        <v>81</v>
      </c>
      <c r="AF174" s="24" t="n">
        <f aca="false">ROUND(100*(1-SQRT(((S174-'포지션 정의'!$N$6)^2+(T174-'포지션 정의'!$O$6)^2+(U174-'포지션 정의'!$P$6)^2)/3)/'판정 기준'!$B$7),0)</f>
        <v>71</v>
      </c>
      <c r="AG174" s="24" t="n">
        <f aca="false">ROUND(100*(1-SQRT(((S174-'포지션 정의'!$N$7)^2+(T174-'포지션 정의'!$O$7)^2+(U174-'포지션 정의'!$P$7)^2)/3)/'판정 기준'!$B$7),0)</f>
        <v>76</v>
      </c>
      <c r="AH174" s="24" t="n">
        <f aca="false">ROUND(100*(1-SQRT(((S174-'포지션 정의'!$N$8)^2+(T174-'포지션 정의'!$O$8)^2+(U174-'포지션 정의'!$P$8)^2)/3)/'판정 기준'!$B$7),0)</f>
        <v>64</v>
      </c>
      <c r="AI174" s="24" t="n">
        <f aca="false">ROUND(100*(1-SQRT(((S174-'포지션 정의'!$N$9)^2+(T174-'포지션 정의'!$O$9)^2+(U174-'포지션 정의'!$P$9)^2)/3)/'판정 기준'!$B$7),0)</f>
        <v>92</v>
      </c>
      <c r="AJ174" s="23" t="str">
        <f aca="false">IF(G174&gt;='판정 기준'!$B$8,"경기긴장도, ","")&amp;IF(Q174&gt;='판정 기준'!$B$8,"사회적 도움 활용, ","")&amp;IF(K174&gt;='판정 기준'!$B$8,"경기 준비 능력, ","")&amp;IF(N174&gt;='판정 기준'!$B$8,"실수 후 회복력, ","")&amp;IF(P174&gt;='판정 기준'!$B$8,"자기 통제력, ","")</f>
        <v>경기긴장도, 사회적 도움 활용, 경기 준비 능력, 실수 후 회복력, 자기 통제력, </v>
      </c>
      <c r="AK174" s="23" t="n">
        <f aca="false">IF(AND(G174&lt;'판정 기준'!$B$8,OR(AJ174&lt;&gt;"",AP174&lt;&gt;"경기긴장도")),G174,0)</f>
        <v>0</v>
      </c>
      <c r="AL174" s="23" t="n">
        <f aca="false">IF(AND(Q174&lt;'판정 기준'!$B$8,OR(AJ174&lt;&gt;"",AP174&lt;&gt;"사회적 도움 활용")),Q174,0)</f>
        <v>0</v>
      </c>
      <c r="AM174" s="23" t="n">
        <f aca="false">IF(AND(K174&lt;'판정 기준'!$B$8,OR(AJ174&lt;&gt;"",AP174&lt;&gt;"경기 준비 능력")),K174,0)</f>
        <v>0</v>
      </c>
      <c r="AN174" s="23" t="n">
        <f aca="false">IF(AND(N174&lt;'판정 기준'!$B$8,OR(AJ174&lt;&gt;"",AP174&lt;&gt;"실수 후 회복력")),N174,0)</f>
        <v>0</v>
      </c>
      <c r="AO174" s="23" t="n">
        <f aca="false">IF(AND(P174&lt;'판정 기준'!$B$8,OR(AJ174&lt;&gt;"",AP174&lt;&gt;"자기 통제력")),P174,0)</f>
        <v>0</v>
      </c>
      <c r="AP174" s="23" t="str">
        <f aca="false">IF(Q174=MAX(G174,Q174,K174,N174,P174),"사회적 도움 활용",IF(P174=MAX(G174,Q174,K174,N174,P174),"자기 통제력",IF(G174=MAX(G174,Q174,K174,N174,P174),"경기긴장도",IF(K174=MAX(G174,Q174,K174,N174,P174),"경기 준비 능력","실수 후 회복력"))))</f>
        <v>사회적 도움 활용</v>
      </c>
    </row>
    <row r="175" customFormat="false" ht="17.15" hidden="false" customHeight="false" outlineLevel="0" collapsed="false">
      <c r="A175" s="13" t="s">
        <v>291</v>
      </c>
      <c r="B175" s="13" t="s">
        <v>187</v>
      </c>
      <c r="C175" s="13" t="s">
        <v>378</v>
      </c>
      <c r="D175" s="14" t="n">
        <v>46141</v>
      </c>
      <c r="E175" s="41" t="s">
        <v>198</v>
      </c>
      <c r="F175" s="42" t="n">
        <v>5.5</v>
      </c>
      <c r="G175" s="42" t="n">
        <v>4.9</v>
      </c>
      <c r="H175" s="42" t="n">
        <v>4.7</v>
      </c>
      <c r="I175" s="42" t="n">
        <v>5.2</v>
      </c>
      <c r="J175" s="42" t="n">
        <v>5</v>
      </c>
      <c r="K175" s="42" t="n">
        <v>5.7</v>
      </c>
      <c r="L175" s="42" t="n">
        <v>5.7</v>
      </c>
      <c r="M175" s="42" t="n">
        <v>5.7</v>
      </c>
      <c r="N175" s="42" t="n">
        <v>6</v>
      </c>
      <c r="O175" s="42" t="n">
        <v>6</v>
      </c>
      <c r="P175" s="42" t="n">
        <v>5.3</v>
      </c>
      <c r="Q175" s="42" t="n">
        <v>5.8</v>
      </c>
      <c r="R175" s="42" t="n">
        <v>6</v>
      </c>
      <c r="S175" s="37" t="n">
        <f aca="false">AVERAGE(G175:J175)</f>
        <v>4.95</v>
      </c>
      <c r="T175" s="37" t="n">
        <f aca="false">AVERAGE(K175:M175)</f>
        <v>5.7</v>
      </c>
      <c r="U175" s="37" t="n">
        <f aca="false">AVERAGE(N175:O175)</f>
        <v>6</v>
      </c>
      <c r="V175" s="23" t="str">
        <f aca="false">IF(S175&gt;='판정 기준'!$B$3,"H","L")&amp;IF(T175&gt;='판정 기준'!$B$3,"H","L")&amp;IF(U175&gt;='판정 기준'!$B$3,"H","L")</f>
        <v>HHH</v>
      </c>
      <c r="W175" s="36" t="str">
        <f aca="false">INDEX('포지션 정의'!$A$2:$A$9,MATCH(V175,'포지션 정의'!$D$2:$D$9,0))</f>
        <v>H</v>
      </c>
      <c r="X175" s="36" t="str">
        <f aca="false">INDEX('포지션 정의'!$B$2:$B$9,MATCH(V175,'포지션 정의'!$D$2:$D$9,0))</f>
        <v>올라운드 밸런스형</v>
      </c>
      <c r="Y175" s="43" t="str">
        <f aca="false">IF(AJ175="","가장 높은 지표: "&amp;AP175,LEFT(AJ175,LEN(AJ175)-2))</f>
        <v>경기긴장도, 사회적 도움 활용, 경기 준비 능력, 실수 후 회복력, 자기 통제력</v>
      </c>
      <c r="Z175" s="43" t="str">
        <f aca="false">IF(MAX(AK175:AO175)=0,"심화: "&amp;IF(N175=MIN(G175,Q175,K175,N175,P175),"실수 후 회복력",IF(K175=MIN(G175,Q175,K175,N175,P175),"경기 준비 능력",IF(G175=MIN(G175,Q175,K175,N175,P175),"경기긴장도",IF(P175=MIN(G175,Q175,K175,N175,P175),"자기 통제력","사회적 도움 활용")))),IF(MAX(AK175:AO175)&gt;='판정 기준'!$B$8-'판정 기준'!$B$4,IF(AN175=MAX(AK175:AO175),"실수 후 회복력",IF(AM175=MAX(AK175:AO175),"경기 준비 능력",IF(AK175=MAX(AK175:AO175),"경기긴장도",IF(AO175=MAX(AK175:AO175),"자기 통제력","사회적 도움 활용")))),IF(AN175&gt;0,"실수 후 회복력",IF(AM175&gt;0,"경기 준비 능력",IF(AK175&gt;0,"경기긴장도",IF(AO175&gt;0,"자기 통제력","사회적 도움 활용"))))))</f>
        <v>심화: 경기긴장도</v>
      </c>
      <c r="AA175" s="43" t="str">
        <f aca="false">INDEX('포지션 정의'!$L$2:$L$9,MATCH(V175,'포지션 정의'!$D$2:$D$9,0))</f>
        <v>크리스티아누 호날두 · 루카 모드리치 · 버질 반 다이크</v>
      </c>
      <c r="AB175" s="24" t="n">
        <f aca="false">ROUND(100*(1-SQRT(((S175-'포지션 정의'!$N$2)^2+(T175-'포지션 정의'!$O$2)^2+(U175-'포지션 정의'!$P$2)^2)/3)/'판정 기준'!$B$7),0)</f>
        <v>71</v>
      </c>
      <c r="AC175" s="24" t="n">
        <f aca="false">ROUND(100*(1-SQRT(((S175-'포지션 정의'!$N$3)^2+(T175-'포지션 정의'!$O$3)^2+(U175-'포지션 정의'!$P$3)^2)/3)/'판정 기준'!$B$7),0)</f>
        <v>74</v>
      </c>
      <c r="AD175" s="24" t="n">
        <f aca="false">ROUND(100*(1-SQRT(((S175-'포지션 정의'!$N$4)^2+(T175-'포지션 정의'!$O$4)^2+(U175-'포지션 정의'!$P$4)^2)/3)/'판정 기준'!$B$7),0)</f>
        <v>66</v>
      </c>
      <c r="AE175" s="24" t="n">
        <f aca="false">ROUND(100*(1-SQRT(((S175-'포지션 정의'!$N$5)^2+(T175-'포지션 정의'!$O$5)^2+(U175-'포지션 정의'!$P$5)^2)/3)/'판정 기준'!$B$7),0)</f>
        <v>76</v>
      </c>
      <c r="AF175" s="24" t="n">
        <f aca="false">ROUND(100*(1-SQRT(((S175-'포지션 정의'!$N$6)^2+(T175-'포지션 정의'!$O$6)^2+(U175-'포지션 정의'!$P$6)^2)/3)/'판정 기준'!$B$7),0)</f>
        <v>73</v>
      </c>
      <c r="AG175" s="24" t="n">
        <f aca="false">ROUND(100*(1-SQRT(((S175-'포지션 정의'!$N$7)^2+(T175-'포지션 정의'!$O$7)^2+(U175-'포지션 정의'!$P$7)^2)/3)/'판정 기준'!$B$7),0)</f>
        <v>83</v>
      </c>
      <c r="AH175" s="24" t="n">
        <f aca="false">ROUND(100*(1-SQRT(((S175-'포지션 정의'!$N$8)^2+(T175-'포지션 정의'!$O$8)^2+(U175-'포지션 정의'!$P$8)^2)/3)/'판정 기준'!$B$7),0)</f>
        <v>64</v>
      </c>
      <c r="AI175" s="24" t="n">
        <f aca="false">ROUND(100*(1-SQRT(((S175-'포지션 정의'!$N$9)^2+(T175-'포지션 정의'!$O$9)^2+(U175-'포지션 정의'!$P$9)^2)/3)/'판정 기준'!$B$7),0)</f>
        <v>89</v>
      </c>
      <c r="AJ175" s="23" t="str">
        <f aca="false">IF(G175&gt;='판정 기준'!$B$8,"경기긴장도, ","")&amp;IF(Q175&gt;='판정 기준'!$B$8,"사회적 도움 활용, ","")&amp;IF(K175&gt;='판정 기준'!$B$8,"경기 준비 능력, ","")&amp;IF(N175&gt;='판정 기준'!$B$8,"실수 후 회복력, ","")&amp;IF(P175&gt;='판정 기준'!$B$8,"자기 통제력, ","")</f>
        <v>경기긴장도, 사회적 도움 활용, 경기 준비 능력, 실수 후 회복력, 자기 통제력, </v>
      </c>
      <c r="AK175" s="23" t="n">
        <f aca="false">IF(AND(G175&lt;'판정 기준'!$B$8,OR(AJ175&lt;&gt;"",AP175&lt;&gt;"경기긴장도")),G175,0)</f>
        <v>0</v>
      </c>
      <c r="AL175" s="23" t="n">
        <f aca="false">IF(AND(Q175&lt;'판정 기준'!$B$8,OR(AJ175&lt;&gt;"",AP175&lt;&gt;"사회적 도움 활용")),Q175,0)</f>
        <v>0</v>
      </c>
      <c r="AM175" s="23" t="n">
        <f aca="false">IF(AND(K175&lt;'판정 기준'!$B$8,OR(AJ175&lt;&gt;"",AP175&lt;&gt;"경기 준비 능력")),K175,0)</f>
        <v>0</v>
      </c>
      <c r="AN175" s="23" t="n">
        <f aca="false">IF(AND(N175&lt;'판정 기준'!$B$8,OR(AJ175&lt;&gt;"",AP175&lt;&gt;"실수 후 회복력")),N175,0)</f>
        <v>0</v>
      </c>
      <c r="AO175" s="23" t="n">
        <f aca="false">IF(AND(P175&lt;'판정 기준'!$B$8,OR(AJ175&lt;&gt;"",AP175&lt;&gt;"자기 통제력")),P175,0)</f>
        <v>0</v>
      </c>
      <c r="AP175" s="23" t="str">
        <f aca="false">IF(Q175=MAX(G175,Q175,K175,N175,P175),"사회적 도움 활용",IF(P175=MAX(G175,Q175,K175,N175,P175),"자기 통제력",IF(G175=MAX(G175,Q175,K175,N175,P175),"경기긴장도",IF(K175=MAX(G175,Q175,K175,N175,P175),"경기 준비 능력","실수 후 회복력"))))</f>
        <v>실수 후 회복력</v>
      </c>
    </row>
    <row r="176" customFormat="false" ht="17.15" hidden="false" customHeight="false" outlineLevel="0" collapsed="false">
      <c r="A176" s="13" t="s">
        <v>395</v>
      </c>
      <c r="B176" s="13" t="s">
        <v>187</v>
      </c>
      <c r="C176" s="13" t="s">
        <v>335</v>
      </c>
      <c r="D176" s="14" t="n">
        <v>46140</v>
      </c>
      <c r="E176" s="41" t="s">
        <v>193</v>
      </c>
      <c r="F176" s="42" t="n">
        <v>3.8</v>
      </c>
      <c r="G176" s="42" t="n">
        <v>3.9</v>
      </c>
      <c r="H176" s="42" t="n">
        <v>4.3</v>
      </c>
      <c r="I176" s="42" t="n">
        <v>5</v>
      </c>
      <c r="J176" s="42" t="n">
        <v>3.2</v>
      </c>
      <c r="K176" s="42" t="n">
        <v>4</v>
      </c>
      <c r="L176" s="42" t="n">
        <v>4</v>
      </c>
      <c r="M176" s="42" t="n">
        <v>4</v>
      </c>
      <c r="N176" s="42" t="n">
        <v>2.7</v>
      </c>
      <c r="O176" s="42" t="n">
        <v>3.5</v>
      </c>
      <c r="P176" s="42" t="n">
        <v>5.2</v>
      </c>
      <c r="Q176" s="42" t="n">
        <v>4.4</v>
      </c>
      <c r="R176" s="42" t="n">
        <v>3.7</v>
      </c>
      <c r="S176" s="37" t="n">
        <f aca="false">AVERAGE(G176:J176)</f>
        <v>4.1</v>
      </c>
      <c r="T176" s="37" t="n">
        <f aca="false">AVERAGE(K176:M176)</f>
        <v>4</v>
      </c>
      <c r="U176" s="37" t="n">
        <f aca="false">AVERAGE(N176:O176)</f>
        <v>3.1</v>
      </c>
      <c r="V176" s="23" t="str">
        <f aca="false">IF(S176&gt;='판정 기준'!$B$3,"H","L")&amp;IF(T176&gt;='판정 기준'!$B$3,"H","L")&amp;IF(U176&gt;='판정 기준'!$B$3,"H","L")</f>
        <v>LLL</v>
      </c>
      <c r="W176" s="36" t="str">
        <f aca="false">INDEX('포지션 정의'!$A$2:$A$9,MATCH(V176,'포지션 정의'!$D$2:$D$9,0))</f>
        <v>G</v>
      </c>
      <c r="X176" s="36" t="str">
        <f aca="false">INDEX('포지션 정의'!$B$2:$B$9,MATCH(V176,'포지션 정의'!$D$2:$D$9,0))</f>
        <v>스펀지 흡수형</v>
      </c>
      <c r="Y176" s="43" t="str">
        <f aca="false">IF(AJ176="","가장 높은 지표: "&amp;AP176,LEFT(AJ176,LEN(AJ176)-2))</f>
        <v>자기 통제력</v>
      </c>
      <c r="Z176" s="43" t="str">
        <f aca="false">IF(MAX(AK176:AO176)=0,"심화: "&amp;IF(N176=MIN(G176,Q176,K176,N176,P176),"실수 후 회복력",IF(K176=MIN(G176,Q176,K176,N176,P176),"경기 준비 능력",IF(G176=MIN(G176,Q176,K176,N176,P176),"경기긴장도",IF(P176=MIN(G176,Q176,K176,N176,P176),"자기 통제력","사회적 도움 활용")))),IF(MAX(AK176:AO176)&gt;='판정 기준'!$B$8-'판정 기준'!$B$4,IF(AN176=MAX(AK176:AO176),"실수 후 회복력",IF(AM176=MAX(AK176:AO176),"경기 준비 능력",IF(AK176=MAX(AK176:AO176),"경기긴장도",IF(AO176=MAX(AK176:AO176),"자기 통제력","사회적 도움 활용")))),IF(AN176&gt;0,"실수 후 회복력",IF(AM176&gt;0,"경기 준비 능력",IF(AK176&gt;0,"경기긴장도",IF(AO176&gt;0,"자기 통제력","사회적 도움 활용"))))))</f>
        <v>실수 후 회복력</v>
      </c>
      <c r="AA176" s="43" t="str">
        <f aca="false">INDEX('포지션 정의'!$L$2:$L$9,MATCH(V176,'포지션 정의'!$D$2:$D$9,0))</f>
        <v>디디에 드로그바 · 앙투안 그리즈만 · 모하메드 살라</v>
      </c>
      <c r="AB176" s="24" t="n">
        <f aca="false">ROUND(100*(1-SQRT(((S176-'포지션 정의'!$N$2)^2+(T176-'포지션 정의'!$O$2)^2+(U176-'포지션 정의'!$P$2)^2)/3)/'판정 기준'!$B$7),0)</f>
        <v>84</v>
      </c>
      <c r="AC176" s="24" t="n">
        <f aca="false">ROUND(100*(1-SQRT(((S176-'포지션 정의'!$N$3)^2+(T176-'포지션 정의'!$O$3)^2+(U176-'포지션 정의'!$P$3)^2)/3)/'판정 기준'!$B$7),0)</f>
        <v>80</v>
      </c>
      <c r="AD176" s="24" t="n">
        <f aca="false">ROUND(100*(1-SQRT(((S176-'포지션 정의'!$N$4)^2+(T176-'포지션 정의'!$O$4)^2+(U176-'포지션 정의'!$P$4)^2)/3)/'판정 기준'!$B$7),0)</f>
        <v>85</v>
      </c>
      <c r="AE176" s="24" t="n">
        <f aca="false">ROUND(100*(1-SQRT(((S176-'포지션 정의'!$N$5)^2+(T176-'포지션 정의'!$O$5)^2+(U176-'포지션 정의'!$P$5)^2)/3)/'판정 기준'!$B$7),0)</f>
        <v>73</v>
      </c>
      <c r="AF176" s="24" t="n">
        <f aca="false">ROUND(100*(1-SQRT(((S176-'포지션 정의'!$N$6)^2+(T176-'포지션 정의'!$O$6)^2+(U176-'포지션 정의'!$P$6)^2)/3)/'판정 기준'!$B$7),0)</f>
        <v>75</v>
      </c>
      <c r="AG176" s="24" t="n">
        <f aca="false">ROUND(100*(1-SQRT(((S176-'포지션 정의'!$N$7)^2+(T176-'포지션 정의'!$O$7)^2+(U176-'포지션 정의'!$P$7)^2)/3)/'판정 기준'!$B$7),0)</f>
        <v>72</v>
      </c>
      <c r="AH176" s="24" t="n">
        <f aca="false">ROUND(100*(1-SQRT(((S176-'포지션 정의'!$N$8)^2+(T176-'포지션 정의'!$O$8)^2+(U176-'포지션 정의'!$P$8)^2)/3)/'판정 기준'!$B$7),0)</f>
        <v>91</v>
      </c>
      <c r="AI176" s="24" t="n">
        <f aca="false">ROUND(100*(1-SQRT(((S176-'포지션 정의'!$N$9)^2+(T176-'포지션 정의'!$O$9)^2+(U176-'포지션 정의'!$P$9)^2)/3)/'판정 기준'!$B$7),0)</f>
        <v>69</v>
      </c>
      <c r="AJ176" s="23" t="str">
        <f aca="false">IF(G176&gt;='판정 기준'!$B$8,"경기긴장도, ","")&amp;IF(Q176&gt;='판정 기준'!$B$8,"사회적 도움 활용, ","")&amp;IF(K176&gt;='판정 기준'!$B$8,"경기 준비 능력, ","")&amp;IF(N176&gt;='판정 기준'!$B$8,"실수 후 회복력, ","")&amp;IF(P176&gt;='판정 기준'!$B$8,"자기 통제력, ","")</f>
        <v>자기 통제력, </v>
      </c>
      <c r="AK176" s="23" t="n">
        <f aca="false">IF(AND(G176&lt;'판정 기준'!$B$8,OR(AJ176&lt;&gt;"",AP176&lt;&gt;"경기긴장도")),G176,0)</f>
        <v>3.9</v>
      </c>
      <c r="AL176" s="23" t="n">
        <f aca="false">IF(AND(Q176&lt;'판정 기준'!$B$8,OR(AJ176&lt;&gt;"",AP176&lt;&gt;"사회적 도움 활용")),Q176,0)</f>
        <v>4.4</v>
      </c>
      <c r="AM176" s="23" t="n">
        <f aca="false">IF(AND(K176&lt;'판정 기준'!$B$8,OR(AJ176&lt;&gt;"",AP176&lt;&gt;"경기 준비 능력")),K176,0)</f>
        <v>4</v>
      </c>
      <c r="AN176" s="23" t="n">
        <f aca="false">IF(AND(N176&lt;'판정 기준'!$B$8,OR(AJ176&lt;&gt;"",AP176&lt;&gt;"실수 후 회복력")),N176,0)</f>
        <v>2.7</v>
      </c>
      <c r="AO176" s="23" t="n">
        <f aca="false">IF(AND(P176&lt;'판정 기준'!$B$8,OR(AJ176&lt;&gt;"",AP176&lt;&gt;"자기 통제력")),P176,0)</f>
        <v>0</v>
      </c>
      <c r="AP176" s="23" t="str">
        <f aca="false">IF(Q176=MAX(G176,Q176,K176,N176,P176),"사회적 도움 활용",IF(P176=MAX(G176,Q176,K176,N176,P176),"자기 통제력",IF(G176=MAX(G176,Q176,K176,N176,P176),"경기긴장도",IF(K176=MAX(G176,Q176,K176,N176,P176),"경기 준비 능력","실수 후 회복력"))))</f>
        <v>자기 통제력</v>
      </c>
    </row>
    <row r="177" customFormat="false" ht="17.15" hidden="false" customHeight="false" outlineLevel="0" collapsed="false">
      <c r="A177" s="13" t="s">
        <v>396</v>
      </c>
      <c r="B177" s="13" t="s">
        <v>187</v>
      </c>
      <c r="C177" s="13" t="s">
        <v>335</v>
      </c>
      <c r="D177" s="14" t="n">
        <v>46140</v>
      </c>
      <c r="E177" s="41" t="s">
        <v>198</v>
      </c>
      <c r="F177" s="42" t="n">
        <v>5.6</v>
      </c>
      <c r="G177" s="42" t="n">
        <v>4.9</v>
      </c>
      <c r="H177" s="42" t="n">
        <v>4.7</v>
      </c>
      <c r="I177" s="42" t="n">
        <v>5</v>
      </c>
      <c r="J177" s="42" t="n">
        <v>4.5</v>
      </c>
      <c r="K177" s="42" t="n">
        <v>6</v>
      </c>
      <c r="L177" s="42" t="n">
        <v>6</v>
      </c>
      <c r="M177" s="42" t="n">
        <v>6</v>
      </c>
      <c r="N177" s="42" t="n">
        <v>6</v>
      </c>
      <c r="O177" s="42" t="n">
        <v>6</v>
      </c>
      <c r="P177" s="42" t="n">
        <v>5.3</v>
      </c>
      <c r="Q177" s="42" t="n">
        <v>5.6</v>
      </c>
      <c r="R177" s="42" t="n">
        <v>5.7</v>
      </c>
      <c r="S177" s="37" t="n">
        <f aca="false">AVERAGE(G177:J177)</f>
        <v>4.775</v>
      </c>
      <c r="T177" s="37" t="n">
        <f aca="false">AVERAGE(K177:M177)</f>
        <v>6</v>
      </c>
      <c r="U177" s="37" t="n">
        <f aca="false">AVERAGE(N177:O177)</f>
        <v>6</v>
      </c>
      <c r="V177" s="23" t="str">
        <f aca="false">IF(S177&gt;='판정 기준'!$B$3,"H","L")&amp;IF(T177&gt;='판정 기준'!$B$3,"H","L")&amp;IF(U177&gt;='판정 기준'!$B$3,"H","L")</f>
        <v>HHH</v>
      </c>
      <c r="W177" s="36" t="str">
        <f aca="false">INDEX('포지션 정의'!$A$2:$A$9,MATCH(V177,'포지션 정의'!$D$2:$D$9,0))</f>
        <v>H</v>
      </c>
      <c r="X177" s="36" t="str">
        <f aca="false">INDEX('포지션 정의'!$B$2:$B$9,MATCH(V177,'포지션 정의'!$D$2:$D$9,0))</f>
        <v>올라운드 밸런스형</v>
      </c>
      <c r="Y177" s="43" t="str">
        <f aca="false">IF(AJ177="","가장 높은 지표: "&amp;AP177,LEFT(AJ177,LEN(AJ177)-2))</f>
        <v>경기긴장도, 사회적 도움 활용, 경기 준비 능력, 실수 후 회복력, 자기 통제력</v>
      </c>
      <c r="Z177" s="43" t="str">
        <f aca="false">IF(MAX(AK177:AO177)=0,"심화: "&amp;IF(N177=MIN(G177,Q177,K177,N177,P177),"실수 후 회복력",IF(K177=MIN(G177,Q177,K177,N177,P177),"경기 준비 능력",IF(G177=MIN(G177,Q177,K177,N177,P177),"경기긴장도",IF(P177=MIN(G177,Q177,K177,N177,P177),"자기 통제력","사회적 도움 활용")))),IF(MAX(AK177:AO177)&gt;='판정 기준'!$B$8-'판정 기준'!$B$4,IF(AN177=MAX(AK177:AO177),"실수 후 회복력",IF(AM177=MAX(AK177:AO177),"경기 준비 능력",IF(AK177=MAX(AK177:AO177),"경기긴장도",IF(AO177=MAX(AK177:AO177),"자기 통제력","사회적 도움 활용")))),IF(AN177&gt;0,"실수 후 회복력",IF(AM177&gt;0,"경기 준비 능력",IF(AK177&gt;0,"경기긴장도",IF(AO177&gt;0,"자기 통제력","사회적 도움 활용"))))))</f>
        <v>심화: 경기긴장도</v>
      </c>
      <c r="AA177" s="43" t="str">
        <f aca="false">INDEX('포지션 정의'!$L$2:$L$9,MATCH(V177,'포지션 정의'!$D$2:$D$9,0))</f>
        <v>크리스티아누 호날두 · 루카 모드리치 · 버질 반 다이크</v>
      </c>
      <c r="AB177" s="24" t="n">
        <f aca="false">ROUND(100*(1-SQRT(((S177-'포지션 정의'!$N$2)^2+(T177-'포지션 정의'!$O$2)^2+(U177-'포지션 정의'!$P$2)^2)/3)/'판정 기준'!$B$7),0)</f>
        <v>71</v>
      </c>
      <c r="AC177" s="24" t="n">
        <f aca="false">ROUND(100*(1-SQRT(((S177-'포지션 정의'!$N$3)^2+(T177-'포지션 정의'!$O$3)^2+(U177-'포지션 정의'!$P$3)^2)/3)/'판정 기준'!$B$7),0)</f>
        <v>73</v>
      </c>
      <c r="AD177" s="24" t="n">
        <f aca="false">ROUND(100*(1-SQRT(((S177-'포지션 정의'!$N$4)^2+(T177-'포지션 정의'!$O$4)^2+(U177-'포지션 정의'!$P$4)^2)/3)/'판정 기준'!$B$7),0)</f>
        <v>64</v>
      </c>
      <c r="AE177" s="24" t="n">
        <f aca="false">ROUND(100*(1-SQRT(((S177-'포지션 정의'!$N$5)^2+(T177-'포지션 정의'!$O$5)^2+(U177-'포지션 정의'!$P$5)^2)/3)/'판정 기준'!$B$7),0)</f>
        <v>73</v>
      </c>
      <c r="AF177" s="24" t="n">
        <f aca="false">ROUND(100*(1-SQRT(((S177-'포지션 정의'!$N$6)^2+(T177-'포지션 정의'!$O$6)^2+(U177-'포지션 정의'!$P$6)^2)/3)/'판정 기준'!$B$7),0)</f>
        <v>71</v>
      </c>
      <c r="AG177" s="24" t="n">
        <f aca="false">ROUND(100*(1-SQRT(((S177-'포지션 정의'!$N$7)^2+(T177-'포지션 정의'!$O$7)^2+(U177-'포지션 정의'!$P$7)^2)/3)/'판정 기준'!$B$7),0)</f>
        <v>83</v>
      </c>
      <c r="AH177" s="24" t="n">
        <f aca="false">ROUND(100*(1-SQRT(((S177-'포지션 정의'!$N$8)^2+(T177-'포지션 정의'!$O$8)^2+(U177-'포지션 정의'!$P$8)^2)/3)/'판정 기준'!$B$7),0)</f>
        <v>62</v>
      </c>
      <c r="AI177" s="24" t="n">
        <f aca="false">ROUND(100*(1-SQRT(((S177-'포지션 정의'!$N$9)^2+(T177-'포지션 정의'!$O$9)^2+(U177-'포지션 정의'!$P$9)^2)/3)/'판정 기준'!$B$7),0)</f>
        <v>86</v>
      </c>
      <c r="AJ177" s="23" t="str">
        <f aca="false">IF(G177&gt;='판정 기준'!$B$8,"경기긴장도, ","")&amp;IF(Q177&gt;='판정 기준'!$B$8,"사회적 도움 활용, ","")&amp;IF(K177&gt;='판정 기준'!$B$8,"경기 준비 능력, ","")&amp;IF(N177&gt;='판정 기준'!$B$8,"실수 후 회복력, ","")&amp;IF(P177&gt;='판정 기준'!$B$8,"자기 통제력, ","")</f>
        <v>경기긴장도, 사회적 도움 활용, 경기 준비 능력, 실수 후 회복력, 자기 통제력, </v>
      </c>
      <c r="AK177" s="23" t="n">
        <f aca="false">IF(AND(G177&lt;'판정 기준'!$B$8,OR(AJ177&lt;&gt;"",AP177&lt;&gt;"경기긴장도")),G177,0)</f>
        <v>0</v>
      </c>
      <c r="AL177" s="23" t="n">
        <f aca="false">IF(AND(Q177&lt;'판정 기준'!$B$8,OR(AJ177&lt;&gt;"",AP177&lt;&gt;"사회적 도움 활용")),Q177,0)</f>
        <v>0</v>
      </c>
      <c r="AM177" s="23" t="n">
        <f aca="false">IF(AND(K177&lt;'판정 기준'!$B$8,OR(AJ177&lt;&gt;"",AP177&lt;&gt;"경기 준비 능력")),K177,0)</f>
        <v>0</v>
      </c>
      <c r="AN177" s="23" t="n">
        <f aca="false">IF(AND(N177&lt;'판정 기준'!$B$8,OR(AJ177&lt;&gt;"",AP177&lt;&gt;"실수 후 회복력")),N177,0)</f>
        <v>0</v>
      </c>
      <c r="AO177" s="23" t="n">
        <f aca="false">IF(AND(P177&lt;'판정 기준'!$B$8,OR(AJ177&lt;&gt;"",AP177&lt;&gt;"자기 통제력")),P177,0)</f>
        <v>0</v>
      </c>
      <c r="AP177" s="23" t="str">
        <f aca="false">IF(Q177=MAX(G177,Q177,K177,N177,P177),"사회적 도움 활용",IF(P177=MAX(G177,Q177,K177,N177,P177),"자기 통제력",IF(G177=MAX(G177,Q177,K177,N177,P177),"경기긴장도",IF(K177=MAX(G177,Q177,K177,N177,P177),"경기 준비 능력","실수 후 회복력"))))</f>
        <v>경기 준비 능력</v>
      </c>
    </row>
    <row r="178" customFormat="false" ht="17.15" hidden="false" customHeight="false" outlineLevel="0" collapsed="false">
      <c r="A178" s="13" t="s">
        <v>397</v>
      </c>
      <c r="B178" s="13" t="s">
        <v>187</v>
      </c>
      <c r="C178" s="13" t="s">
        <v>335</v>
      </c>
      <c r="D178" s="14" t="n">
        <v>46140</v>
      </c>
      <c r="E178" s="41" t="s">
        <v>198</v>
      </c>
      <c r="F178" s="42" t="n">
        <v>4.3</v>
      </c>
      <c r="G178" s="42" t="n">
        <v>4.2</v>
      </c>
      <c r="H178" s="42" t="n">
        <v>4.3</v>
      </c>
      <c r="I178" s="42" t="n">
        <v>4.2</v>
      </c>
      <c r="J178" s="42" t="n">
        <v>4</v>
      </c>
      <c r="K178" s="42" t="n">
        <v>3.7</v>
      </c>
      <c r="L178" s="42" t="n">
        <v>3.8</v>
      </c>
      <c r="M178" s="42" t="n">
        <v>3.6</v>
      </c>
      <c r="N178" s="42" t="n">
        <v>4.7</v>
      </c>
      <c r="O178" s="42" t="n">
        <v>5</v>
      </c>
      <c r="P178" s="42" t="n">
        <v>4.5</v>
      </c>
      <c r="Q178" s="42" t="n">
        <v>5</v>
      </c>
      <c r="R178" s="42" t="n">
        <v>5.7</v>
      </c>
      <c r="S178" s="37" t="n">
        <f aca="false">AVERAGE(G178:J178)</f>
        <v>4.175</v>
      </c>
      <c r="T178" s="37" t="n">
        <f aca="false">AVERAGE(K178:M178)</f>
        <v>3.7</v>
      </c>
      <c r="U178" s="37" t="n">
        <f aca="false">AVERAGE(N178:O178)</f>
        <v>4.85</v>
      </c>
      <c r="V178" s="23" t="str">
        <f aca="false">IF(S178&gt;='판정 기준'!$B$3,"H","L")&amp;IF(T178&gt;='판정 기준'!$B$3,"H","L")&amp;IF(U178&gt;='판정 기준'!$B$3,"H","L")</f>
        <v>LLH</v>
      </c>
      <c r="W178" s="36" t="str">
        <f aca="false">INDEX('포지션 정의'!$A$2:$A$9,MATCH(V178,'포지션 정의'!$D$2:$D$9,0))</f>
        <v>E</v>
      </c>
      <c r="X178" s="36" t="str">
        <f aca="false">INDEX('포지션 정의'!$B$2:$B$9,MATCH(V178,'포지션 정의'!$D$2:$D$9,0))</f>
        <v>오뚝이 회복형</v>
      </c>
      <c r="Y178" s="43" t="str">
        <f aca="false">IF(AJ178="","가장 높은 지표: "&amp;AP178,LEFT(AJ178,LEN(AJ178)-2))</f>
        <v>사회적 도움 활용</v>
      </c>
      <c r="Z178" s="43" t="str">
        <f aca="false">IF(MAX(AK178:AO178)=0,"심화: "&amp;IF(N178=MIN(G178,Q178,K178,N178,P178),"실수 후 회복력",IF(K178=MIN(G178,Q178,K178,N178,P178),"경기 준비 능력",IF(G178=MIN(G178,Q178,K178,N178,P178),"경기긴장도",IF(P178=MIN(G178,Q178,K178,N178,P178),"자기 통제력","사회적 도움 활용")))),IF(MAX(AK178:AO178)&gt;='판정 기준'!$B$8-'판정 기준'!$B$4,IF(AN178=MAX(AK178:AO178),"실수 후 회복력",IF(AM178=MAX(AK178:AO178),"경기 준비 능력",IF(AK178=MAX(AK178:AO178),"경기긴장도",IF(AO178=MAX(AK178:AO178),"자기 통제력","사회적 도움 활용")))),IF(AN178&gt;0,"실수 후 회복력",IF(AM178&gt;0,"경기 준비 능력",IF(AK178&gt;0,"경기긴장도",IF(AO178&gt;0,"자기 통제력","사회적 도움 활용"))))))</f>
        <v>실수 후 회복력</v>
      </c>
      <c r="AA178" s="43" t="str">
        <f aca="false">INDEX('포지션 정의'!$L$2:$L$9,MATCH(V178,'포지션 정의'!$D$2:$D$9,0))</f>
        <v>올리비에 지루 · 디에고 포를란 · 라다멜 팔카오</v>
      </c>
      <c r="AB178" s="24" t="n">
        <f aca="false">ROUND(100*(1-SQRT(((S178-'포지션 정의'!$N$2)^2+(T178-'포지션 정의'!$O$2)^2+(U178-'포지션 정의'!$P$2)^2)/3)/'판정 기준'!$B$7),0)</f>
        <v>78</v>
      </c>
      <c r="AC178" s="24" t="n">
        <f aca="false">ROUND(100*(1-SQRT(((S178-'포지션 정의'!$N$3)^2+(T178-'포지션 정의'!$O$3)^2+(U178-'포지션 정의'!$P$3)^2)/3)/'판정 기준'!$B$7),0)</f>
        <v>76</v>
      </c>
      <c r="AD178" s="24" t="n">
        <f aca="false">ROUND(100*(1-SQRT(((S178-'포지션 정의'!$N$4)^2+(T178-'포지션 정의'!$O$4)^2+(U178-'포지션 정의'!$P$4)^2)/3)/'판정 기준'!$B$7),0)</f>
        <v>83</v>
      </c>
      <c r="AE178" s="24" t="n">
        <f aca="false">ROUND(100*(1-SQRT(((S178-'포지션 정의'!$N$5)^2+(T178-'포지션 정의'!$O$5)^2+(U178-'포지션 정의'!$P$5)^2)/3)/'판정 기준'!$B$7),0)</f>
        <v>87</v>
      </c>
      <c r="AF178" s="24" t="n">
        <f aca="false">ROUND(100*(1-SQRT(((S178-'포지션 정의'!$N$6)^2+(T178-'포지션 정의'!$O$6)^2+(U178-'포지션 정의'!$P$6)^2)/3)/'판정 기준'!$B$7),0)</f>
        <v>94</v>
      </c>
      <c r="AG178" s="24" t="n">
        <f aca="false">ROUND(100*(1-SQRT(((S178-'포지션 정의'!$N$7)^2+(T178-'포지션 정의'!$O$7)^2+(U178-'포지션 정의'!$P$7)^2)/3)/'판정 기준'!$B$7),0)</f>
        <v>82</v>
      </c>
      <c r="AH178" s="24" t="n">
        <f aca="false">ROUND(100*(1-SQRT(((S178-'포지션 정의'!$N$8)^2+(T178-'포지션 정의'!$O$8)^2+(U178-'포지션 정의'!$P$8)^2)/3)/'판정 기준'!$B$7),0)</f>
        <v>87</v>
      </c>
      <c r="AI178" s="24" t="n">
        <f aca="false">ROUND(100*(1-SQRT(((S178-'포지션 정의'!$N$9)^2+(T178-'포지션 정의'!$O$9)^2+(U178-'포지션 정의'!$P$9)^2)/3)/'판정 기준'!$B$7),0)</f>
        <v>79</v>
      </c>
      <c r="AJ178" s="23" t="str">
        <f aca="false">IF(G178&gt;='판정 기준'!$B$8,"경기긴장도, ","")&amp;IF(Q178&gt;='판정 기준'!$B$8,"사회적 도움 활용, ","")&amp;IF(K178&gt;='판정 기준'!$B$8,"경기 준비 능력, ","")&amp;IF(N178&gt;='판정 기준'!$B$8,"실수 후 회복력, ","")&amp;IF(P178&gt;='판정 기준'!$B$8,"자기 통제력, ","")</f>
        <v>사회적 도움 활용, </v>
      </c>
      <c r="AK178" s="23" t="n">
        <f aca="false">IF(AND(G178&lt;'판정 기준'!$B$8,OR(AJ178&lt;&gt;"",AP178&lt;&gt;"경기긴장도")),G178,0)</f>
        <v>4.2</v>
      </c>
      <c r="AL178" s="23" t="n">
        <f aca="false">IF(AND(Q178&lt;'판정 기준'!$B$8,OR(AJ178&lt;&gt;"",AP178&lt;&gt;"사회적 도움 활용")),Q178,0)</f>
        <v>0</v>
      </c>
      <c r="AM178" s="23" t="n">
        <f aca="false">IF(AND(K178&lt;'판정 기준'!$B$8,OR(AJ178&lt;&gt;"",AP178&lt;&gt;"경기 준비 능력")),K178,0)</f>
        <v>3.7</v>
      </c>
      <c r="AN178" s="23" t="n">
        <f aca="false">IF(AND(N178&lt;'판정 기준'!$B$8,OR(AJ178&lt;&gt;"",AP178&lt;&gt;"실수 후 회복력")),N178,0)</f>
        <v>4.7</v>
      </c>
      <c r="AO178" s="23" t="n">
        <f aca="false">IF(AND(P178&lt;'판정 기준'!$B$8,OR(AJ178&lt;&gt;"",AP178&lt;&gt;"자기 통제력")),P178,0)</f>
        <v>4.5</v>
      </c>
      <c r="AP178" s="23" t="str">
        <f aca="false">IF(Q178=MAX(G178,Q178,K178,N178,P178),"사회적 도움 활용",IF(P178=MAX(G178,Q178,K178,N178,P178),"자기 통제력",IF(G178=MAX(G178,Q178,K178,N178,P178),"경기긴장도",IF(K178=MAX(G178,Q178,K178,N178,P178),"경기 준비 능력","실수 후 회복력"))))</f>
        <v>사회적 도움 활용</v>
      </c>
    </row>
    <row r="179" customFormat="false" ht="17.15" hidden="false" customHeight="false" outlineLevel="0" collapsed="false">
      <c r="A179" s="13" t="s">
        <v>398</v>
      </c>
      <c r="B179" s="13" t="s">
        <v>187</v>
      </c>
      <c r="C179" s="13" t="s">
        <v>335</v>
      </c>
      <c r="D179" s="14" t="n">
        <v>46140</v>
      </c>
      <c r="E179" s="41" t="s">
        <v>195</v>
      </c>
      <c r="F179" s="42" t="n">
        <v>4.3</v>
      </c>
      <c r="G179" s="42" t="n">
        <v>4.8</v>
      </c>
      <c r="H179" s="42" t="n">
        <v>4.3</v>
      </c>
      <c r="I179" s="42" t="n">
        <v>5.2</v>
      </c>
      <c r="J179" s="42" t="n">
        <v>4.2</v>
      </c>
      <c r="K179" s="42" t="n">
        <v>4.2</v>
      </c>
      <c r="L179" s="42" t="n">
        <v>4.7</v>
      </c>
      <c r="M179" s="42" t="n">
        <v>3.9</v>
      </c>
      <c r="N179" s="42" t="n">
        <v>4</v>
      </c>
      <c r="O179" s="42" t="n">
        <v>4.3</v>
      </c>
      <c r="P179" s="42" t="n">
        <v>4.2</v>
      </c>
      <c r="Q179" s="42" t="n">
        <v>5.4</v>
      </c>
      <c r="R179" s="42" t="n">
        <v>5.3</v>
      </c>
      <c r="S179" s="37" t="n">
        <f aca="false">AVERAGE(G179:J179)</f>
        <v>4.625</v>
      </c>
      <c r="T179" s="37" t="n">
        <f aca="false">AVERAGE(K179:M179)</f>
        <v>4.26666666666667</v>
      </c>
      <c r="U179" s="37" t="n">
        <f aca="false">AVERAGE(N179:O179)</f>
        <v>4.15</v>
      </c>
      <c r="V179" s="23" t="str">
        <f aca="false">IF(S179&gt;='판정 기준'!$B$3,"H","L")&amp;IF(T179&gt;='판정 기준'!$B$3,"H","L")&amp;IF(U179&gt;='판정 기준'!$B$3,"H","L")</f>
        <v>HLL</v>
      </c>
      <c r="W179" s="36" t="str">
        <f aca="false">INDEX('포지션 정의'!$A$2:$A$9,MATCH(V179,'포지션 정의'!$D$2:$D$9,0))</f>
        <v>C</v>
      </c>
      <c r="X179" s="36" t="str">
        <f aca="false">INDEX('포지션 정의'!$B$2:$B$9,MATCH(V179,'포지션 정의'!$D$2:$D$9,0))</f>
        <v>침착한 감각형</v>
      </c>
      <c r="Y179" s="43" t="str">
        <f aca="false">IF(AJ179="","가장 높은 지표: "&amp;AP179,LEFT(AJ179,LEN(AJ179)-2))</f>
        <v>경기긴장도, 사회적 도움 활용</v>
      </c>
      <c r="Z179" s="43" t="str">
        <f aca="false">IF(MAX(AK179:AO179)=0,"심화: "&amp;IF(N179=MIN(G179,Q179,K179,N179,P179),"실수 후 회복력",IF(K179=MIN(G179,Q179,K179,N179,P179),"경기 준비 능력",IF(G179=MIN(G179,Q179,K179,N179,P179),"경기긴장도",IF(P179=MIN(G179,Q179,K179,N179,P179),"자기 통제력","사회적 도움 활용")))),IF(MAX(AK179:AO179)&gt;='판정 기준'!$B$8-'판정 기준'!$B$4,IF(AN179=MAX(AK179:AO179),"실수 후 회복력",IF(AM179=MAX(AK179:AO179),"경기 준비 능력",IF(AK179=MAX(AK179:AO179),"경기긴장도",IF(AO179=MAX(AK179:AO179),"자기 통제력","사회적 도움 활용")))),IF(AN179&gt;0,"실수 후 회복력",IF(AM179&gt;0,"경기 준비 능력",IF(AK179&gt;0,"경기긴장도",IF(AO179&gt;0,"자기 통제력","사회적 도움 활용"))))))</f>
        <v>실수 후 회복력</v>
      </c>
      <c r="AA179" s="43" t="str">
        <f aca="false">INDEX('포지션 정의'!$L$2:$L$9,MATCH(V179,'포지션 정의'!$D$2:$D$9,0))</f>
        <v>안드레아 피를로 · 디미타르 베르바토프 · 메수트 외질</v>
      </c>
      <c r="AB179" s="24" t="n">
        <f aca="false">ROUND(100*(1-SQRT(((S179-'포지션 정의'!$N$2)^2+(T179-'포지션 정의'!$O$2)^2+(U179-'포지션 정의'!$P$2)^2)/3)/'판정 기준'!$B$7),0)</f>
        <v>85</v>
      </c>
      <c r="AC179" s="24" t="n">
        <f aca="false">ROUND(100*(1-SQRT(((S179-'포지션 정의'!$N$3)^2+(T179-'포지션 정의'!$O$3)^2+(U179-'포지션 정의'!$P$3)^2)/3)/'판정 기준'!$B$7),0)</f>
        <v>87</v>
      </c>
      <c r="AD179" s="24" t="n">
        <f aca="false">ROUND(100*(1-SQRT(((S179-'포지션 정의'!$N$4)^2+(T179-'포지션 정의'!$O$4)^2+(U179-'포지션 정의'!$P$4)^2)/3)/'판정 기준'!$B$7),0)</f>
        <v>91</v>
      </c>
      <c r="AE179" s="24" t="n">
        <f aca="false">ROUND(100*(1-SQRT(((S179-'포지션 정의'!$N$5)^2+(T179-'포지션 정의'!$O$5)^2+(U179-'포지션 정의'!$P$5)^2)/3)/'판정 기준'!$B$7),0)</f>
        <v>85</v>
      </c>
      <c r="AF179" s="24" t="n">
        <f aca="false">ROUND(100*(1-SQRT(((S179-'포지션 정의'!$N$6)^2+(T179-'포지션 정의'!$O$6)^2+(U179-'포지션 정의'!$P$6)^2)/3)/'판정 기준'!$B$7),0)</f>
        <v>84</v>
      </c>
      <c r="AG179" s="24" t="n">
        <f aca="false">ROUND(100*(1-SQRT(((S179-'포지션 정의'!$N$7)^2+(T179-'포지션 정의'!$O$7)^2+(U179-'포지션 정의'!$P$7)^2)/3)/'판정 기준'!$B$7),0)</f>
        <v>81</v>
      </c>
      <c r="AH179" s="24" t="n">
        <f aca="false">ROUND(100*(1-SQRT(((S179-'포지션 정의'!$N$8)^2+(T179-'포지션 정의'!$O$8)^2+(U179-'포지션 정의'!$P$8)^2)/3)/'판정 기준'!$B$7),0)</f>
        <v>88</v>
      </c>
      <c r="AI179" s="24" t="n">
        <f aca="false">ROUND(100*(1-SQRT(((S179-'포지션 정의'!$N$9)^2+(T179-'포지션 정의'!$O$9)^2+(U179-'포지션 정의'!$P$9)^2)/3)/'판정 기준'!$B$7),0)</f>
        <v>82</v>
      </c>
      <c r="AJ179" s="23" t="str">
        <f aca="false">IF(G179&gt;='판정 기준'!$B$8,"경기긴장도, ","")&amp;IF(Q179&gt;='판정 기준'!$B$8,"사회적 도움 활용, ","")&amp;IF(K179&gt;='판정 기준'!$B$8,"경기 준비 능력, ","")&amp;IF(N179&gt;='판정 기준'!$B$8,"실수 후 회복력, ","")&amp;IF(P179&gt;='판정 기준'!$B$8,"자기 통제력, ","")</f>
        <v>경기긴장도, 사회적 도움 활용, </v>
      </c>
      <c r="AK179" s="23" t="n">
        <f aca="false">IF(AND(G179&lt;'판정 기준'!$B$8,OR(AJ179&lt;&gt;"",AP179&lt;&gt;"경기긴장도")),G179,0)</f>
        <v>0</v>
      </c>
      <c r="AL179" s="23" t="n">
        <f aca="false">IF(AND(Q179&lt;'판정 기준'!$B$8,OR(AJ179&lt;&gt;"",AP179&lt;&gt;"사회적 도움 활용")),Q179,0)</f>
        <v>0</v>
      </c>
      <c r="AM179" s="23" t="n">
        <f aca="false">IF(AND(K179&lt;'판정 기준'!$B$8,OR(AJ179&lt;&gt;"",AP179&lt;&gt;"경기 준비 능력")),K179,0)</f>
        <v>4.2</v>
      </c>
      <c r="AN179" s="23" t="n">
        <f aca="false">IF(AND(N179&lt;'판정 기준'!$B$8,OR(AJ179&lt;&gt;"",AP179&lt;&gt;"실수 후 회복력")),N179,0)</f>
        <v>4</v>
      </c>
      <c r="AO179" s="23" t="n">
        <f aca="false">IF(AND(P179&lt;'판정 기준'!$B$8,OR(AJ179&lt;&gt;"",AP179&lt;&gt;"자기 통제력")),P179,0)</f>
        <v>4.2</v>
      </c>
      <c r="AP179" s="23" t="str">
        <f aca="false">IF(Q179=MAX(G179,Q179,K179,N179,P179),"사회적 도움 활용",IF(P179=MAX(G179,Q179,K179,N179,P179),"자기 통제력",IF(G179=MAX(G179,Q179,K179,N179,P179),"경기긴장도",IF(K179=MAX(G179,Q179,K179,N179,P179),"경기 준비 능력","실수 후 회복력"))))</f>
        <v>사회적 도움 활용</v>
      </c>
    </row>
    <row r="180" customFormat="false" ht="17.15" hidden="false" customHeight="false" outlineLevel="0" collapsed="false">
      <c r="A180" s="13" t="s">
        <v>344</v>
      </c>
      <c r="B180" s="13" t="s">
        <v>187</v>
      </c>
      <c r="C180" s="13" t="s">
        <v>335</v>
      </c>
      <c r="D180" s="14" t="n">
        <v>46140</v>
      </c>
      <c r="E180" s="41" t="s">
        <v>198</v>
      </c>
      <c r="F180" s="42" t="n">
        <v>4</v>
      </c>
      <c r="G180" s="42" t="n">
        <v>2.8</v>
      </c>
      <c r="H180" s="42" t="n">
        <v>2.2</v>
      </c>
      <c r="I180" s="42" t="n">
        <v>2.6</v>
      </c>
      <c r="J180" s="42" t="n">
        <v>2.8</v>
      </c>
      <c r="K180" s="42" t="n">
        <v>4.1</v>
      </c>
      <c r="L180" s="42" t="n">
        <v>4.2</v>
      </c>
      <c r="M180" s="42" t="n">
        <v>4</v>
      </c>
      <c r="N180" s="42" t="n">
        <v>5.3</v>
      </c>
      <c r="O180" s="42" t="n">
        <v>5</v>
      </c>
      <c r="P180" s="42" t="n">
        <v>3.5</v>
      </c>
      <c r="Q180" s="42" t="n">
        <v>4.2</v>
      </c>
      <c r="R180" s="42" t="n">
        <v>5.7</v>
      </c>
      <c r="S180" s="37" t="n">
        <f aca="false">AVERAGE(G180:J180)</f>
        <v>2.6</v>
      </c>
      <c r="T180" s="37" t="n">
        <f aca="false">AVERAGE(K180:M180)</f>
        <v>4.1</v>
      </c>
      <c r="U180" s="37" t="n">
        <f aca="false">AVERAGE(N180:O180)</f>
        <v>5.15</v>
      </c>
      <c r="V180" s="23" t="str">
        <f aca="false">IF(S180&gt;='판정 기준'!$B$3,"H","L")&amp;IF(T180&gt;='판정 기준'!$B$3,"H","L")&amp;IF(U180&gt;='판정 기준'!$B$3,"H","L")</f>
        <v>LLH</v>
      </c>
      <c r="W180" s="36" t="str">
        <f aca="false">INDEX('포지션 정의'!$A$2:$A$9,MATCH(V180,'포지션 정의'!$D$2:$D$9,0))</f>
        <v>E</v>
      </c>
      <c r="X180" s="36" t="str">
        <f aca="false">INDEX('포지션 정의'!$B$2:$B$9,MATCH(V180,'포지션 정의'!$D$2:$D$9,0))</f>
        <v>오뚝이 회복형</v>
      </c>
      <c r="Y180" s="43" t="str">
        <f aca="false">IF(AJ180="","가장 높은 지표: "&amp;AP180,LEFT(AJ180,LEN(AJ180)-2))</f>
        <v>실수 후 회복력</v>
      </c>
      <c r="Z180" s="43" t="str">
        <f aca="false">IF(MAX(AK180:AO180)=0,"심화: "&amp;IF(N180=MIN(G180,Q180,K180,N180,P180),"실수 후 회복력",IF(K180=MIN(G180,Q180,K180,N180,P180),"경기 준비 능력",IF(G180=MIN(G180,Q180,K180,N180,P180),"경기긴장도",IF(P180=MIN(G180,Q180,K180,N180,P180),"자기 통제력","사회적 도움 활용")))),IF(MAX(AK180:AO180)&gt;='판정 기준'!$B$8-'판정 기준'!$B$4,IF(AN180=MAX(AK180:AO180),"실수 후 회복력",IF(AM180=MAX(AK180:AO180),"경기 준비 능력",IF(AK180=MAX(AK180:AO180),"경기긴장도",IF(AO180=MAX(AK180:AO180),"자기 통제력","사회적 도움 활용")))),IF(AN180&gt;0,"실수 후 회복력",IF(AM180&gt;0,"경기 준비 능력",IF(AK180&gt;0,"경기긴장도",IF(AO180&gt;0,"자기 통제력","사회적 도움 활용"))))))</f>
        <v>경기 준비 능력</v>
      </c>
      <c r="AA180" s="43" t="str">
        <f aca="false">INDEX('포지션 정의'!$L$2:$L$9,MATCH(V180,'포지션 정의'!$D$2:$D$9,0))</f>
        <v>올리비에 지루 · 디에고 포를란 · 라다멜 팔카오</v>
      </c>
      <c r="AB180" s="24" t="n">
        <f aca="false">ROUND(100*(1-SQRT(((S180-'포지션 정의'!$N$2)^2+(T180-'포지션 정의'!$O$2)^2+(U180-'포지션 정의'!$P$2)^2)/3)/'판정 기준'!$B$7),0)</f>
        <v>76</v>
      </c>
      <c r="AC180" s="24" t="n">
        <f aca="false">ROUND(100*(1-SQRT(((S180-'포지션 정의'!$N$3)^2+(T180-'포지션 정의'!$O$3)^2+(U180-'포지션 정의'!$P$3)^2)/3)/'판정 기준'!$B$7),0)</f>
        <v>64</v>
      </c>
      <c r="AD180" s="24" t="n">
        <f aca="false">ROUND(100*(1-SQRT(((S180-'포지션 정의'!$N$4)^2+(T180-'포지션 정의'!$O$4)^2+(U180-'포지션 정의'!$P$4)^2)/3)/'판정 기준'!$B$7),0)</f>
        <v>66</v>
      </c>
      <c r="AE180" s="24" t="n">
        <f aca="false">ROUND(100*(1-SQRT(((S180-'포지션 정의'!$N$5)^2+(T180-'포지션 정의'!$O$5)^2+(U180-'포지션 정의'!$P$5)^2)/3)/'판정 기준'!$B$7),0)</f>
        <v>70</v>
      </c>
      <c r="AF180" s="24" t="n">
        <f aca="false">ROUND(100*(1-SQRT(((S180-'포지션 정의'!$N$6)^2+(T180-'포지션 정의'!$O$6)^2+(U180-'포지션 정의'!$P$6)^2)/3)/'판정 기준'!$B$7),0)</f>
        <v>86</v>
      </c>
      <c r="AG180" s="24" t="n">
        <f aca="false">ROUND(100*(1-SQRT(((S180-'포지션 정의'!$N$7)^2+(T180-'포지션 정의'!$O$7)^2+(U180-'포지션 정의'!$P$7)^2)/3)/'판정 기준'!$B$7),0)</f>
        <v>81</v>
      </c>
      <c r="AH180" s="24" t="n">
        <f aca="false">ROUND(100*(1-SQRT(((S180-'포지션 정의'!$N$8)^2+(T180-'포지션 정의'!$O$8)^2+(U180-'포지션 정의'!$P$8)^2)/3)/'판정 기준'!$B$7),0)</f>
        <v>79</v>
      </c>
      <c r="AI180" s="24" t="n">
        <f aca="false">ROUND(100*(1-SQRT(((S180-'포지션 정의'!$N$9)^2+(T180-'포지션 정의'!$O$9)^2+(U180-'포지션 정의'!$P$9)^2)/3)/'판정 기준'!$B$7),0)</f>
        <v>67</v>
      </c>
      <c r="AJ180" s="23" t="str">
        <f aca="false">IF(G180&gt;='판정 기준'!$B$8,"경기긴장도, ","")&amp;IF(Q180&gt;='판정 기준'!$B$8,"사회적 도움 활용, ","")&amp;IF(K180&gt;='판정 기준'!$B$8,"경기 준비 능력, ","")&amp;IF(N180&gt;='판정 기준'!$B$8,"실수 후 회복력, ","")&amp;IF(P180&gt;='판정 기준'!$B$8,"자기 통제력, ","")</f>
        <v>실수 후 회복력, </v>
      </c>
      <c r="AK180" s="23" t="n">
        <f aca="false">IF(AND(G180&lt;'판정 기준'!$B$8,OR(AJ180&lt;&gt;"",AP180&lt;&gt;"경기긴장도")),G180,0)</f>
        <v>2.8</v>
      </c>
      <c r="AL180" s="23" t="n">
        <f aca="false">IF(AND(Q180&lt;'판정 기준'!$B$8,OR(AJ180&lt;&gt;"",AP180&lt;&gt;"사회적 도움 활용")),Q180,0)</f>
        <v>4.2</v>
      </c>
      <c r="AM180" s="23" t="n">
        <f aca="false">IF(AND(K180&lt;'판정 기준'!$B$8,OR(AJ180&lt;&gt;"",AP180&lt;&gt;"경기 준비 능력")),K180,0)</f>
        <v>4.1</v>
      </c>
      <c r="AN180" s="23" t="n">
        <f aca="false">IF(AND(N180&lt;'판정 기준'!$B$8,OR(AJ180&lt;&gt;"",AP180&lt;&gt;"실수 후 회복력")),N180,0)</f>
        <v>0</v>
      </c>
      <c r="AO180" s="23" t="n">
        <f aca="false">IF(AND(P180&lt;'판정 기준'!$B$8,OR(AJ180&lt;&gt;"",AP180&lt;&gt;"자기 통제력")),P180,0)</f>
        <v>3.5</v>
      </c>
      <c r="AP180" s="23" t="str">
        <f aca="false">IF(Q180=MAX(G180,Q180,K180,N180,P180),"사회적 도움 활용",IF(P180=MAX(G180,Q180,K180,N180,P180),"자기 통제력",IF(G180=MAX(G180,Q180,K180,N180,P180),"경기긴장도",IF(K180=MAX(G180,Q180,K180,N180,P180),"경기 준비 능력","실수 후 회복력"))))</f>
        <v>실수 후 회복력</v>
      </c>
    </row>
    <row r="181" customFormat="false" ht="17.15" hidden="false" customHeight="false" outlineLevel="0" collapsed="false">
      <c r="A181" s="13" t="s">
        <v>399</v>
      </c>
      <c r="B181" s="13" t="s">
        <v>187</v>
      </c>
      <c r="C181" s="13" t="s">
        <v>335</v>
      </c>
      <c r="D181" s="14" t="n">
        <v>46140</v>
      </c>
      <c r="E181" s="41" t="s">
        <v>195</v>
      </c>
      <c r="F181" s="42" t="n">
        <v>4.2</v>
      </c>
      <c r="G181" s="42" t="n">
        <v>5.6</v>
      </c>
      <c r="H181" s="42" t="n">
        <v>5.5</v>
      </c>
      <c r="I181" s="42" t="n">
        <v>5.8</v>
      </c>
      <c r="J181" s="42" t="n">
        <v>5.5</v>
      </c>
      <c r="K181" s="42" t="n">
        <v>4.3</v>
      </c>
      <c r="L181" s="42" t="n">
        <v>4.5</v>
      </c>
      <c r="M181" s="42" t="n">
        <v>4.1</v>
      </c>
      <c r="N181" s="42" t="n">
        <v>2.7</v>
      </c>
      <c r="O181" s="42" t="n">
        <v>3.2</v>
      </c>
      <c r="P181" s="42" t="n">
        <v>4.5</v>
      </c>
      <c r="Q181" s="42" t="n">
        <v>5.4</v>
      </c>
      <c r="R181" s="42" t="n">
        <v>5.7</v>
      </c>
      <c r="S181" s="37" t="n">
        <f aca="false">AVERAGE(G181:J181)</f>
        <v>5.6</v>
      </c>
      <c r="T181" s="37" t="n">
        <f aca="false">AVERAGE(K181:M181)</f>
        <v>4.3</v>
      </c>
      <c r="U181" s="37" t="n">
        <f aca="false">AVERAGE(N181:O181)</f>
        <v>2.95</v>
      </c>
      <c r="V181" s="23" t="str">
        <f aca="false">IF(S181&gt;='판정 기준'!$B$3,"H","L")&amp;IF(T181&gt;='판정 기준'!$B$3,"H","L")&amp;IF(U181&gt;='판정 기준'!$B$3,"H","L")</f>
        <v>HLL</v>
      </c>
      <c r="W181" s="36" t="str">
        <f aca="false">INDEX('포지션 정의'!$A$2:$A$9,MATCH(V181,'포지션 정의'!$D$2:$D$9,0))</f>
        <v>C</v>
      </c>
      <c r="X181" s="36" t="str">
        <f aca="false">INDEX('포지션 정의'!$B$2:$B$9,MATCH(V181,'포지션 정의'!$D$2:$D$9,0))</f>
        <v>침착한 감각형</v>
      </c>
      <c r="Y181" s="43" t="str">
        <f aca="false">IF(AJ181="","가장 높은 지표: "&amp;AP181,LEFT(AJ181,LEN(AJ181)-2))</f>
        <v>경기긴장도, 사회적 도움 활용</v>
      </c>
      <c r="Z181" s="43" t="str">
        <f aca="false">IF(MAX(AK181:AO181)=0,"심화: "&amp;IF(N181=MIN(G181,Q181,K181,N181,P181),"실수 후 회복력",IF(K181=MIN(G181,Q181,K181,N181,P181),"경기 준비 능력",IF(G181=MIN(G181,Q181,K181,N181,P181),"경기긴장도",IF(P181=MIN(G181,Q181,K181,N181,P181),"자기 통제력","사회적 도움 활용")))),IF(MAX(AK181:AO181)&gt;='판정 기준'!$B$8-'판정 기준'!$B$4,IF(AN181=MAX(AK181:AO181),"실수 후 회복력",IF(AM181=MAX(AK181:AO181),"경기 준비 능력",IF(AK181=MAX(AK181:AO181),"경기긴장도",IF(AO181=MAX(AK181:AO181),"자기 통제력","사회적 도움 활용")))),IF(AN181&gt;0,"실수 후 회복력",IF(AM181&gt;0,"경기 준비 능력",IF(AK181&gt;0,"경기긴장도",IF(AO181&gt;0,"자기 통제력","사회적 도움 활용"))))))</f>
        <v>자기 통제력</v>
      </c>
      <c r="AA181" s="43" t="str">
        <f aca="false">INDEX('포지션 정의'!$L$2:$L$9,MATCH(V181,'포지션 정의'!$D$2:$D$9,0))</f>
        <v>안드레아 피를로 · 디미타르 베르바토프 · 메수트 외질</v>
      </c>
      <c r="AB181" s="24" t="n">
        <f aca="false">ROUND(100*(1-SQRT(((S181-'포지션 정의'!$N$2)^2+(T181-'포지션 정의'!$O$2)^2+(U181-'포지션 정의'!$P$2)^2)/3)/'판정 기준'!$B$7),0)</f>
        <v>75</v>
      </c>
      <c r="AC181" s="24" t="n">
        <f aca="false">ROUND(100*(1-SQRT(((S181-'포지션 정의'!$N$3)^2+(T181-'포지션 정의'!$O$3)^2+(U181-'포지션 정의'!$P$3)^2)/3)/'판정 기준'!$B$7),0)</f>
        <v>85</v>
      </c>
      <c r="AD181" s="24" t="n">
        <f aca="false">ROUND(100*(1-SQRT(((S181-'포지션 정의'!$N$4)^2+(T181-'포지션 정의'!$O$4)^2+(U181-'포지션 정의'!$P$4)^2)/3)/'판정 기준'!$B$7),0)</f>
        <v>88</v>
      </c>
      <c r="AE181" s="24" t="n">
        <f aca="false">ROUND(100*(1-SQRT(((S181-'포지션 정의'!$N$5)^2+(T181-'포지션 정의'!$O$5)^2+(U181-'포지션 정의'!$P$5)^2)/3)/'판정 기준'!$B$7),0)</f>
        <v>73</v>
      </c>
      <c r="AF181" s="24" t="n">
        <f aca="false">ROUND(100*(1-SQRT(((S181-'포지션 정의'!$N$6)^2+(T181-'포지션 정의'!$O$6)^2+(U181-'포지션 정의'!$P$6)^2)/3)/'판정 기준'!$B$7),0)</f>
        <v>66</v>
      </c>
      <c r="AG181" s="24" t="n">
        <f aca="false">ROUND(100*(1-SQRT(((S181-'포지션 정의'!$N$7)^2+(T181-'포지션 정의'!$O$7)^2+(U181-'포지션 정의'!$P$7)^2)/3)/'판정 기준'!$B$7),0)</f>
        <v>65</v>
      </c>
      <c r="AH181" s="24" t="n">
        <f aca="false">ROUND(100*(1-SQRT(((S181-'포지션 정의'!$N$8)^2+(T181-'포지션 정의'!$O$8)^2+(U181-'포지션 정의'!$P$8)^2)/3)/'판정 기준'!$B$7),0)</f>
        <v>76</v>
      </c>
      <c r="AI181" s="24" t="n">
        <f aca="false">ROUND(100*(1-SQRT(((S181-'포지션 정의'!$N$9)^2+(T181-'포지션 정의'!$O$9)^2+(U181-'포지션 정의'!$P$9)^2)/3)/'판정 기준'!$B$7),0)</f>
        <v>72</v>
      </c>
      <c r="AJ181" s="23" t="str">
        <f aca="false">IF(G181&gt;='판정 기준'!$B$8,"경기긴장도, ","")&amp;IF(Q181&gt;='판정 기준'!$B$8,"사회적 도움 활용, ","")&amp;IF(K181&gt;='판정 기준'!$B$8,"경기 준비 능력, ","")&amp;IF(N181&gt;='판정 기준'!$B$8,"실수 후 회복력, ","")&amp;IF(P181&gt;='판정 기준'!$B$8,"자기 통제력, ","")</f>
        <v>경기긴장도, 사회적 도움 활용, </v>
      </c>
      <c r="AK181" s="23" t="n">
        <f aca="false">IF(AND(G181&lt;'판정 기준'!$B$8,OR(AJ181&lt;&gt;"",AP181&lt;&gt;"경기긴장도")),G181,0)</f>
        <v>0</v>
      </c>
      <c r="AL181" s="23" t="n">
        <f aca="false">IF(AND(Q181&lt;'판정 기준'!$B$8,OR(AJ181&lt;&gt;"",AP181&lt;&gt;"사회적 도움 활용")),Q181,0)</f>
        <v>0</v>
      </c>
      <c r="AM181" s="23" t="n">
        <f aca="false">IF(AND(K181&lt;'판정 기준'!$B$8,OR(AJ181&lt;&gt;"",AP181&lt;&gt;"경기 준비 능력")),K181,0)</f>
        <v>4.3</v>
      </c>
      <c r="AN181" s="23" t="n">
        <f aca="false">IF(AND(N181&lt;'판정 기준'!$B$8,OR(AJ181&lt;&gt;"",AP181&lt;&gt;"실수 후 회복력")),N181,0)</f>
        <v>2.7</v>
      </c>
      <c r="AO181" s="23" t="n">
        <f aca="false">IF(AND(P181&lt;'판정 기준'!$B$8,OR(AJ181&lt;&gt;"",AP181&lt;&gt;"자기 통제력")),P181,0)</f>
        <v>4.5</v>
      </c>
      <c r="AP181" s="23" t="str">
        <f aca="false">IF(Q181=MAX(G181,Q181,K181,N181,P181),"사회적 도움 활용",IF(P181=MAX(G181,Q181,K181,N181,P181),"자기 통제력",IF(G181=MAX(G181,Q181,K181,N181,P181),"경기긴장도",IF(K181=MAX(G181,Q181,K181,N181,P181),"경기 준비 능력","실수 후 회복력"))))</f>
        <v>경기긴장도</v>
      </c>
    </row>
    <row r="182" customFormat="false" ht="17.15" hidden="false" customHeight="false" outlineLevel="0" collapsed="false">
      <c r="A182" s="13" t="s">
        <v>400</v>
      </c>
      <c r="B182" s="13" t="s">
        <v>187</v>
      </c>
      <c r="C182" s="13" t="s">
        <v>335</v>
      </c>
      <c r="D182" s="14" t="n">
        <v>46140</v>
      </c>
      <c r="E182" s="41" t="s">
        <v>198</v>
      </c>
      <c r="F182" s="42" t="n">
        <v>3.6</v>
      </c>
      <c r="G182" s="42" t="n">
        <v>3.2</v>
      </c>
      <c r="H182" s="42" t="n">
        <v>2.7</v>
      </c>
      <c r="I182" s="42" t="n">
        <v>4</v>
      </c>
      <c r="J182" s="42" t="n">
        <v>2.2</v>
      </c>
      <c r="K182" s="42" t="n">
        <v>4.4</v>
      </c>
      <c r="L182" s="42" t="n">
        <v>4.2</v>
      </c>
      <c r="M182" s="42" t="n">
        <v>4.6</v>
      </c>
      <c r="N182" s="42" t="n">
        <v>3.7</v>
      </c>
      <c r="O182" s="42" t="n">
        <v>3.7</v>
      </c>
      <c r="P182" s="42" t="n">
        <v>3</v>
      </c>
      <c r="Q182" s="42" t="n">
        <v>6</v>
      </c>
      <c r="R182" s="42" t="n">
        <v>6</v>
      </c>
      <c r="S182" s="37" t="n">
        <f aca="false">AVERAGE(G182:J182)</f>
        <v>3.025</v>
      </c>
      <c r="T182" s="37" t="n">
        <f aca="false">AVERAGE(K182:M182)</f>
        <v>4.4</v>
      </c>
      <c r="U182" s="37" t="n">
        <f aca="false">AVERAGE(N182:O182)</f>
        <v>3.7</v>
      </c>
      <c r="V182" s="23" t="str">
        <f aca="false">IF(S182&gt;='판정 기준'!$B$3,"H","L")&amp;IF(T182&gt;='판정 기준'!$B$3,"H","L")&amp;IF(U182&gt;='판정 기준'!$B$3,"H","L")</f>
        <v>LLL</v>
      </c>
      <c r="W182" s="36" t="str">
        <f aca="false">INDEX('포지션 정의'!$A$2:$A$9,MATCH(V182,'포지션 정의'!$D$2:$D$9,0))</f>
        <v>G</v>
      </c>
      <c r="X182" s="36" t="str">
        <f aca="false">INDEX('포지션 정의'!$B$2:$B$9,MATCH(V182,'포지션 정의'!$D$2:$D$9,0))</f>
        <v>스펀지 흡수형</v>
      </c>
      <c r="Y182" s="43" t="str">
        <f aca="false">IF(AJ182="","가장 높은 지표: "&amp;AP182,LEFT(AJ182,LEN(AJ182)-2))</f>
        <v>사회적 도움 활용</v>
      </c>
      <c r="Z182" s="43" t="str">
        <f aca="false">IF(MAX(AK182:AO182)=0,"심화: "&amp;IF(N182=MIN(G182,Q182,K182,N182,P182),"실수 후 회복력",IF(K182=MIN(G182,Q182,K182,N182,P182),"경기 준비 능력",IF(G182=MIN(G182,Q182,K182,N182,P182),"경기긴장도",IF(P182=MIN(G182,Q182,K182,N182,P182),"자기 통제력","사회적 도움 활용")))),IF(MAX(AK182:AO182)&gt;='판정 기준'!$B$8-'판정 기준'!$B$4,IF(AN182=MAX(AK182:AO182),"실수 후 회복력",IF(AM182=MAX(AK182:AO182),"경기 준비 능력",IF(AK182=MAX(AK182:AO182),"경기긴장도",IF(AO182=MAX(AK182:AO182),"자기 통제력","사회적 도움 활용")))),IF(AN182&gt;0,"실수 후 회복력",IF(AM182&gt;0,"경기 준비 능력",IF(AK182&gt;0,"경기긴장도",IF(AO182&gt;0,"자기 통제력","사회적 도움 활용"))))))</f>
        <v>실수 후 회복력</v>
      </c>
      <c r="AA182" s="43" t="str">
        <f aca="false">INDEX('포지션 정의'!$L$2:$L$9,MATCH(V182,'포지션 정의'!$D$2:$D$9,0))</f>
        <v>디디에 드로그바 · 앙투안 그리즈만 · 모하메드 살라</v>
      </c>
      <c r="AB182" s="24" t="n">
        <f aca="false">ROUND(100*(1-SQRT(((S182-'포지션 정의'!$N$2)^2+(T182-'포지션 정의'!$O$2)^2+(U182-'포지션 정의'!$P$2)^2)/3)/'판정 기준'!$B$7),0)</f>
        <v>87</v>
      </c>
      <c r="AC182" s="24" t="n">
        <f aca="false">ROUND(100*(1-SQRT(((S182-'포지션 정의'!$N$3)^2+(T182-'포지션 정의'!$O$3)^2+(U182-'포지션 정의'!$P$3)^2)/3)/'판정 기준'!$B$7),0)</f>
        <v>73</v>
      </c>
      <c r="AD182" s="24" t="n">
        <f aca="false">ROUND(100*(1-SQRT(((S182-'포지션 정의'!$N$4)^2+(T182-'포지션 정의'!$O$4)^2+(U182-'포지션 정의'!$P$4)^2)/3)/'판정 기준'!$B$7),0)</f>
        <v>74</v>
      </c>
      <c r="AE182" s="24" t="n">
        <f aca="false">ROUND(100*(1-SQRT(((S182-'포지션 정의'!$N$5)^2+(T182-'포지션 정의'!$O$5)^2+(U182-'포지션 정의'!$P$5)^2)/3)/'판정 기준'!$B$7),0)</f>
        <v>69</v>
      </c>
      <c r="AF182" s="24" t="n">
        <f aca="false">ROUND(100*(1-SQRT(((S182-'포지션 정의'!$N$6)^2+(T182-'포지션 정의'!$O$6)^2+(U182-'포지션 정의'!$P$6)^2)/3)/'판정 기준'!$B$7),0)</f>
        <v>79</v>
      </c>
      <c r="AG182" s="24" t="n">
        <f aca="false">ROUND(100*(1-SQRT(((S182-'포지션 정의'!$N$7)^2+(T182-'포지션 정의'!$O$7)^2+(U182-'포지션 정의'!$P$7)^2)/3)/'판정 기준'!$B$7),0)</f>
        <v>78</v>
      </c>
      <c r="AH182" s="24" t="n">
        <f aca="false">ROUND(100*(1-SQRT(((S182-'포지션 정의'!$N$8)^2+(T182-'포지션 정의'!$O$8)^2+(U182-'포지션 정의'!$P$8)^2)/3)/'판정 기준'!$B$7),0)</f>
        <v>89</v>
      </c>
      <c r="AI182" s="24" t="n">
        <f aca="false">ROUND(100*(1-SQRT(((S182-'포지션 정의'!$N$9)^2+(T182-'포지션 정의'!$O$9)^2+(U182-'포지션 정의'!$P$9)^2)/3)/'판정 기준'!$B$7),0)</f>
        <v>68</v>
      </c>
      <c r="AJ182" s="23" t="str">
        <f aca="false">IF(G182&gt;='판정 기준'!$B$8,"경기긴장도, ","")&amp;IF(Q182&gt;='판정 기준'!$B$8,"사회적 도움 활용, ","")&amp;IF(K182&gt;='판정 기준'!$B$8,"경기 준비 능력, ","")&amp;IF(N182&gt;='판정 기준'!$B$8,"실수 후 회복력, ","")&amp;IF(P182&gt;='판정 기준'!$B$8,"자기 통제력, ","")</f>
        <v>사회적 도움 활용, </v>
      </c>
      <c r="AK182" s="23" t="n">
        <f aca="false">IF(AND(G182&lt;'판정 기준'!$B$8,OR(AJ182&lt;&gt;"",AP182&lt;&gt;"경기긴장도")),G182,0)</f>
        <v>3.2</v>
      </c>
      <c r="AL182" s="23" t="n">
        <f aca="false">IF(AND(Q182&lt;'판정 기준'!$B$8,OR(AJ182&lt;&gt;"",AP182&lt;&gt;"사회적 도움 활용")),Q182,0)</f>
        <v>0</v>
      </c>
      <c r="AM182" s="23" t="n">
        <f aca="false">IF(AND(K182&lt;'판정 기준'!$B$8,OR(AJ182&lt;&gt;"",AP182&lt;&gt;"경기 준비 능력")),K182,0)</f>
        <v>4.4</v>
      </c>
      <c r="AN182" s="23" t="n">
        <f aca="false">IF(AND(N182&lt;'판정 기준'!$B$8,OR(AJ182&lt;&gt;"",AP182&lt;&gt;"실수 후 회복력")),N182,0)</f>
        <v>3.7</v>
      </c>
      <c r="AO182" s="23" t="n">
        <f aca="false">IF(AND(P182&lt;'판정 기준'!$B$8,OR(AJ182&lt;&gt;"",AP182&lt;&gt;"자기 통제력")),P182,0)</f>
        <v>3</v>
      </c>
      <c r="AP182" s="23" t="str">
        <f aca="false">IF(Q182=MAX(G182,Q182,K182,N182,P182),"사회적 도움 활용",IF(P182=MAX(G182,Q182,K182,N182,P182),"자기 통제력",IF(G182=MAX(G182,Q182,K182,N182,P182),"경기긴장도",IF(K182=MAX(G182,Q182,K182,N182,P182),"경기 준비 능력","실수 후 회복력"))))</f>
        <v>사회적 도움 활용</v>
      </c>
    </row>
    <row r="183" customFormat="false" ht="17.15" hidden="false" customHeight="false" outlineLevel="0" collapsed="false">
      <c r="A183" s="13" t="s">
        <v>401</v>
      </c>
      <c r="B183" s="13" t="s">
        <v>187</v>
      </c>
      <c r="C183" s="13" t="s">
        <v>335</v>
      </c>
      <c r="D183" s="14" t="n">
        <v>46140</v>
      </c>
      <c r="E183" s="41" t="s">
        <v>198</v>
      </c>
      <c r="F183" s="42" t="n">
        <v>4.6</v>
      </c>
      <c r="G183" s="42" t="n">
        <v>4.8</v>
      </c>
      <c r="H183" s="42" t="n">
        <v>4.2</v>
      </c>
      <c r="I183" s="42" t="n">
        <v>5.2</v>
      </c>
      <c r="J183" s="42" t="n">
        <v>4.3</v>
      </c>
      <c r="K183" s="42" t="n">
        <v>4.5</v>
      </c>
      <c r="L183" s="42" t="n">
        <v>5</v>
      </c>
      <c r="M183" s="42" t="n">
        <v>4</v>
      </c>
      <c r="N183" s="42" t="n">
        <v>4.4</v>
      </c>
      <c r="O183" s="42" t="n">
        <v>5.2</v>
      </c>
      <c r="P183" s="42" t="n">
        <v>4.8</v>
      </c>
      <c r="Q183" s="42" t="n">
        <v>6</v>
      </c>
      <c r="R183" s="42" t="n">
        <v>6</v>
      </c>
      <c r="S183" s="37" t="n">
        <f aca="false">AVERAGE(G183:J183)</f>
        <v>4.625</v>
      </c>
      <c r="T183" s="37" t="n">
        <f aca="false">AVERAGE(K183:M183)</f>
        <v>4.5</v>
      </c>
      <c r="U183" s="37" t="n">
        <f aca="false">AVERAGE(N183:O183)</f>
        <v>4.8</v>
      </c>
      <c r="V183" s="23" t="str">
        <f aca="false">IF(S183&gt;='판정 기준'!$B$3,"H","L")&amp;IF(T183&gt;='판정 기준'!$B$3,"H","L")&amp;IF(U183&gt;='판정 기준'!$B$3,"H","L")</f>
        <v>HHH</v>
      </c>
      <c r="W183" s="36" t="str">
        <f aca="false">INDEX('포지션 정의'!$A$2:$A$9,MATCH(V183,'포지션 정의'!$D$2:$D$9,0))</f>
        <v>H</v>
      </c>
      <c r="X183" s="36" t="str">
        <f aca="false">INDEX('포지션 정의'!$B$2:$B$9,MATCH(V183,'포지션 정의'!$D$2:$D$9,0))</f>
        <v>올라운드 밸런스형</v>
      </c>
      <c r="Y183" s="43" t="str">
        <f aca="false">IF(AJ183="","가장 높은 지표: "&amp;AP183,LEFT(AJ183,LEN(AJ183)-2))</f>
        <v>경기긴장도, 사회적 도움 활용, 자기 통제력</v>
      </c>
      <c r="Z183" s="43" t="str">
        <f aca="false">IF(MAX(AK183:AO183)=0,"심화: "&amp;IF(N183=MIN(G183,Q183,K183,N183,P183),"실수 후 회복력",IF(K183=MIN(G183,Q183,K183,N183,P183),"경기 준비 능력",IF(G183=MIN(G183,Q183,K183,N183,P183),"경기긴장도",IF(P183=MIN(G183,Q183,K183,N183,P183),"자기 통제력","사회적 도움 활용")))),IF(MAX(AK183:AO183)&gt;='판정 기준'!$B$8-'판정 기준'!$B$4,IF(AN183=MAX(AK183:AO183),"실수 후 회복력",IF(AM183=MAX(AK183:AO183),"경기 준비 능력",IF(AK183=MAX(AK183:AO183),"경기긴장도",IF(AO183=MAX(AK183:AO183),"자기 통제력","사회적 도움 활용")))),IF(AN183&gt;0,"실수 후 회복력",IF(AM183&gt;0,"경기 준비 능력",IF(AK183&gt;0,"경기긴장도",IF(AO183&gt;0,"자기 통제력","사회적 도움 활용"))))))</f>
        <v>경기 준비 능력</v>
      </c>
      <c r="AA183" s="43" t="str">
        <f aca="false">INDEX('포지션 정의'!$L$2:$L$9,MATCH(V183,'포지션 정의'!$D$2:$D$9,0))</f>
        <v>크리스티아누 호날두 · 루카 모드리치 · 버질 반 다이크</v>
      </c>
      <c r="AB183" s="24" t="n">
        <f aca="false">ROUND(100*(1-SQRT(((S183-'포지션 정의'!$N$2)^2+(T183-'포지션 정의'!$O$2)^2+(U183-'포지션 정의'!$P$2)^2)/3)/'판정 기준'!$B$7),0)</f>
        <v>83</v>
      </c>
      <c r="AC183" s="24" t="n">
        <f aca="false">ROUND(100*(1-SQRT(((S183-'포지션 정의'!$N$3)^2+(T183-'포지션 정의'!$O$3)^2+(U183-'포지션 정의'!$P$3)^2)/3)/'판정 기준'!$B$7),0)</f>
        <v>84</v>
      </c>
      <c r="AD183" s="24" t="n">
        <f aca="false">ROUND(100*(1-SQRT(((S183-'포지션 정의'!$N$4)^2+(T183-'포지션 정의'!$O$4)^2+(U183-'포지션 정의'!$P$4)^2)/3)/'판정 기준'!$B$7),0)</f>
        <v>84</v>
      </c>
      <c r="AE183" s="24" t="n">
        <f aca="false">ROUND(100*(1-SQRT(((S183-'포지션 정의'!$N$5)^2+(T183-'포지션 정의'!$O$5)^2+(U183-'포지션 정의'!$P$5)^2)/3)/'판정 기준'!$B$7),0)</f>
        <v>89</v>
      </c>
      <c r="AF183" s="24" t="n">
        <f aca="false">ROUND(100*(1-SQRT(((S183-'포지션 정의'!$N$6)^2+(T183-'포지션 정의'!$O$6)^2+(U183-'포지션 정의'!$P$6)^2)/3)/'판정 기준'!$B$7),0)</f>
        <v>87</v>
      </c>
      <c r="AG183" s="24" t="n">
        <f aca="false">ROUND(100*(1-SQRT(((S183-'포지션 정의'!$N$7)^2+(T183-'포지션 정의'!$O$7)^2+(U183-'포지션 정의'!$P$7)^2)/3)/'판정 기준'!$B$7),0)</f>
        <v>87</v>
      </c>
      <c r="AH183" s="24" t="n">
        <f aca="false">ROUND(100*(1-SQRT(((S183-'포지션 정의'!$N$8)^2+(T183-'포지션 정의'!$O$8)^2+(U183-'포지션 정의'!$P$8)^2)/3)/'판정 기준'!$B$7),0)</f>
        <v>83</v>
      </c>
      <c r="AI183" s="24" t="n">
        <f aca="false">ROUND(100*(1-SQRT(((S183-'포지션 정의'!$N$9)^2+(T183-'포지션 정의'!$O$9)^2+(U183-'포지션 정의'!$P$9)^2)/3)/'판정 기준'!$B$7),0)</f>
        <v>89</v>
      </c>
      <c r="AJ183" s="23" t="str">
        <f aca="false">IF(G183&gt;='판정 기준'!$B$8,"경기긴장도, ","")&amp;IF(Q183&gt;='판정 기준'!$B$8,"사회적 도움 활용, ","")&amp;IF(K183&gt;='판정 기준'!$B$8,"경기 준비 능력, ","")&amp;IF(N183&gt;='판정 기준'!$B$8,"실수 후 회복력, ","")&amp;IF(P183&gt;='판정 기준'!$B$8,"자기 통제력, ","")</f>
        <v>경기긴장도, 사회적 도움 활용, 자기 통제력, </v>
      </c>
      <c r="AK183" s="23" t="n">
        <f aca="false">IF(AND(G183&lt;'판정 기준'!$B$8,OR(AJ183&lt;&gt;"",AP183&lt;&gt;"경기긴장도")),G183,0)</f>
        <v>0</v>
      </c>
      <c r="AL183" s="23" t="n">
        <f aca="false">IF(AND(Q183&lt;'판정 기준'!$B$8,OR(AJ183&lt;&gt;"",AP183&lt;&gt;"사회적 도움 활용")),Q183,0)</f>
        <v>0</v>
      </c>
      <c r="AM183" s="23" t="n">
        <f aca="false">IF(AND(K183&lt;'판정 기준'!$B$8,OR(AJ183&lt;&gt;"",AP183&lt;&gt;"경기 준비 능력")),K183,0)</f>
        <v>4.5</v>
      </c>
      <c r="AN183" s="23" t="n">
        <f aca="false">IF(AND(N183&lt;'판정 기준'!$B$8,OR(AJ183&lt;&gt;"",AP183&lt;&gt;"실수 후 회복력")),N183,0)</f>
        <v>4.4</v>
      </c>
      <c r="AO183" s="23" t="n">
        <f aca="false">IF(AND(P183&lt;'판정 기준'!$B$8,OR(AJ183&lt;&gt;"",AP183&lt;&gt;"자기 통제력")),P183,0)</f>
        <v>0</v>
      </c>
      <c r="AP183" s="23" t="str">
        <f aca="false">IF(Q183=MAX(G183,Q183,K183,N183,P183),"사회적 도움 활용",IF(P183=MAX(G183,Q183,K183,N183,P183),"자기 통제력",IF(G183=MAX(G183,Q183,K183,N183,P183),"경기긴장도",IF(K183=MAX(G183,Q183,K183,N183,P183),"경기 준비 능력","실수 후 회복력"))))</f>
        <v>사회적 도움 활용</v>
      </c>
    </row>
    <row r="184" customFormat="false" ht="17.15" hidden="false" customHeight="false" outlineLevel="0" collapsed="false">
      <c r="A184" s="13" t="s">
        <v>402</v>
      </c>
      <c r="B184" s="13" t="s">
        <v>187</v>
      </c>
      <c r="C184" s="13" t="s">
        <v>335</v>
      </c>
      <c r="D184" s="14" t="n">
        <v>46140</v>
      </c>
      <c r="E184" s="41" t="s">
        <v>193</v>
      </c>
      <c r="F184" s="42" t="n">
        <v>5.1</v>
      </c>
      <c r="G184" s="42" t="n">
        <v>5.1</v>
      </c>
      <c r="H184" s="42" t="n">
        <v>5.3</v>
      </c>
      <c r="I184" s="42" t="n">
        <v>4.6</v>
      </c>
      <c r="J184" s="42" t="n">
        <v>4.8</v>
      </c>
      <c r="K184" s="42" t="n">
        <v>5.5</v>
      </c>
      <c r="L184" s="42" t="n">
        <v>5</v>
      </c>
      <c r="M184" s="42" t="n">
        <v>5.9</v>
      </c>
      <c r="N184" s="42" t="n">
        <v>4.7</v>
      </c>
      <c r="O184" s="42" t="n">
        <v>5.8</v>
      </c>
      <c r="P184" s="42" t="n">
        <v>5</v>
      </c>
      <c r="Q184" s="42" t="n">
        <v>6</v>
      </c>
      <c r="R184" s="42" t="n">
        <v>5.3</v>
      </c>
      <c r="S184" s="37" t="n">
        <f aca="false">AVERAGE(G184:J184)</f>
        <v>4.95</v>
      </c>
      <c r="T184" s="37" t="n">
        <f aca="false">AVERAGE(K184:M184)</f>
        <v>5.46666666666667</v>
      </c>
      <c r="U184" s="37" t="n">
        <f aca="false">AVERAGE(N184:O184)</f>
        <v>5.25</v>
      </c>
      <c r="V184" s="23" t="str">
        <f aca="false">IF(S184&gt;='판정 기준'!$B$3,"H","L")&amp;IF(T184&gt;='판정 기준'!$B$3,"H","L")&amp;IF(U184&gt;='판정 기준'!$B$3,"H","L")</f>
        <v>HHH</v>
      </c>
      <c r="W184" s="36" t="str">
        <f aca="false">INDEX('포지션 정의'!$A$2:$A$9,MATCH(V184,'포지션 정의'!$D$2:$D$9,0))</f>
        <v>H</v>
      </c>
      <c r="X184" s="36" t="str">
        <f aca="false">INDEX('포지션 정의'!$B$2:$B$9,MATCH(V184,'포지션 정의'!$D$2:$D$9,0))</f>
        <v>올라운드 밸런스형</v>
      </c>
      <c r="Y184" s="43" t="str">
        <f aca="false">IF(AJ184="","가장 높은 지표: "&amp;AP184,LEFT(AJ184,LEN(AJ184)-2))</f>
        <v>경기긴장도, 사회적 도움 활용, 경기 준비 능력, 자기 통제력</v>
      </c>
      <c r="Z184" s="43" t="str">
        <f aca="false">IF(MAX(AK184:AO184)=0,"심화: "&amp;IF(N184=MIN(G184,Q184,K184,N184,P184),"실수 후 회복력",IF(K184=MIN(G184,Q184,K184,N184,P184),"경기 준비 능력",IF(G184=MIN(G184,Q184,K184,N184,P184),"경기긴장도",IF(P184=MIN(G184,Q184,K184,N184,P184),"자기 통제력","사회적 도움 활용")))),IF(MAX(AK184:AO184)&gt;='판정 기준'!$B$8-'판정 기준'!$B$4,IF(AN184=MAX(AK184:AO184),"실수 후 회복력",IF(AM184=MAX(AK184:AO184),"경기 준비 능력",IF(AK184=MAX(AK184:AO184),"경기긴장도",IF(AO184=MAX(AK184:AO184),"자기 통제력","사회적 도움 활용")))),IF(AN184&gt;0,"실수 후 회복력",IF(AM184&gt;0,"경기 준비 능력",IF(AK184&gt;0,"경기긴장도",IF(AO184&gt;0,"자기 통제력","사회적 도움 활용"))))))</f>
        <v>실수 후 회복력</v>
      </c>
      <c r="AA184" s="43" t="str">
        <f aca="false">INDEX('포지션 정의'!$L$2:$L$9,MATCH(V184,'포지션 정의'!$D$2:$D$9,0))</f>
        <v>크리스티아누 호날두 · 루카 모드리치 · 버질 반 다이크</v>
      </c>
      <c r="AB184" s="24" t="n">
        <f aca="false">ROUND(100*(1-SQRT(((S184-'포지션 정의'!$N$2)^2+(T184-'포지션 정의'!$O$2)^2+(U184-'포지션 정의'!$P$2)^2)/3)/'판정 기준'!$B$7),0)</f>
        <v>78</v>
      </c>
      <c r="AC184" s="24" t="n">
        <f aca="false">ROUND(100*(1-SQRT(((S184-'포지션 정의'!$N$3)^2+(T184-'포지션 정의'!$O$3)^2+(U184-'포지션 정의'!$P$3)^2)/3)/'판정 기준'!$B$7),0)</f>
        <v>83</v>
      </c>
      <c r="AD184" s="24" t="n">
        <f aca="false">ROUND(100*(1-SQRT(((S184-'포지션 정의'!$N$4)^2+(T184-'포지션 정의'!$O$4)^2+(U184-'포지션 정의'!$P$4)^2)/3)/'판정 기준'!$B$7),0)</f>
        <v>74</v>
      </c>
      <c r="AE184" s="24" t="n">
        <f aca="false">ROUND(100*(1-SQRT(((S184-'포지션 정의'!$N$5)^2+(T184-'포지션 정의'!$O$5)^2+(U184-'포지션 정의'!$P$5)^2)/3)/'판정 기준'!$B$7),0)</f>
        <v>81</v>
      </c>
      <c r="AF184" s="24" t="n">
        <f aca="false">ROUND(100*(1-SQRT(((S184-'포지션 정의'!$N$6)^2+(T184-'포지션 정의'!$O$6)^2+(U184-'포지션 정의'!$P$6)^2)/3)/'판정 기준'!$B$7),0)</f>
        <v>77</v>
      </c>
      <c r="AG184" s="24" t="n">
        <f aca="false">ROUND(100*(1-SQRT(((S184-'포지션 정의'!$N$7)^2+(T184-'포지션 정의'!$O$7)^2+(U184-'포지션 정의'!$P$7)^2)/3)/'판정 기준'!$B$7),0)</f>
        <v>86</v>
      </c>
      <c r="AH184" s="24" t="n">
        <f aca="false">ROUND(100*(1-SQRT(((S184-'포지션 정의'!$N$8)^2+(T184-'포지션 정의'!$O$8)^2+(U184-'포지션 정의'!$P$8)^2)/3)/'판정 기준'!$B$7),0)</f>
        <v>71</v>
      </c>
      <c r="AI184" s="24" t="n">
        <f aca="false">ROUND(100*(1-SQRT(((S184-'포지션 정의'!$N$9)^2+(T184-'포지션 정의'!$O$9)^2+(U184-'포지션 정의'!$P$9)^2)/3)/'판정 기준'!$B$7),0)</f>
        <v>96</v>
      </c>
      <c r="AJ184" s="23" t="str">
        <f aca="false">IF(G184&gt;='판정 기준'!$B$8,"경기긴장도, ","")&amp;IF(Q184&gt;='판정 기준'!$B$8,"사회적 도움 활용, ","")&amp;IF(K184&gt;='판정 기준'!$B$8,"경기 준비 능력, ","")&amp;IF(N184&gt;='판정 기준'!$B$8,"실수 후 회복력, ","")&amp;IF(P184&gt;='판정 기준'!$B$8,"자기 통제력, ","")</f>
        <v>경기긴장도, 사회적 도움 활용, 경기 준비 능력, 자기 통제력, </v>
      </c>
      <c r="AK184" s="23" t="n">
        <f aca="false">IF(AND(G184&lt;'판정 기준'!$B$8,OR(AJ184&lt;&gt;"",AP184&lt;&gt;"경기긴장도")),G184,0)</f>
        <v>0</v>
      </c>
      <c r="AL184" s="23" t="n">
        <f aca="false">IF(AND(Q184&lt;'판정 기준'!$B$8,OR(AJ184&lt;&gt;"",AP184&lt;&gt;"사회적 도움 활용")),Q184,0)</f>
        <v>0</v>
      </c>
      <c r="AM184" s="23" t="n">
        <f aca="false">IF(AND(K184&lt;'판정 기준'!$B$8,OR(AJ184&lt;&gt;"",AP184&lt;&gt;"경기 준비 능력")),K184,0)</f>
        <v>0</v>
      </c>
      <c r="AN184" s="23" t="n">
        <f aca="false">IF(AND(N184&lt;'판정 기준'!$B$8,OR(AJ184&lt;&gt;"",AP184&lt;&gt;"실수 후 회복력")),N184,0)</f>
        <v>4.7</v>
      </c>
      <c r="AO184" s="23" t="n">
        <f aca="false">IF(AND(P184&lt;'판정 기준'!$B$8,OR(AJ184&lt;&gt;"",AP184&lt;&gt;"자기 통제력")),P184,0)</f>
        <v>0</v>
      </c>
      <c r="AP184" s="23" t="str">
        <f aca="false">IF(Q184=MAX(G184,Q184,K184,N184,P184),"사회적 도움 활용",IF(P184=MAX(G184,Q184,K184,N184,P184),"자기 통제력",IF(G184=MAX(G184,Q184,K184,N184,P184),"경기긴장도",IF(K184=MAX(G184,Q184,K184,N184,P184),"경기 준비 능력","실수 후 회복력"))))</f>
        <v>사회적 도움 활용</v>
      </c>
    </row>
    <row r="185" customFormat="false" ht="17.15" hidden="false" customHeight="false" outlineLevel="0" collapsed="false">
      <c r="A185" s="13" t="s">
        <v>403</v>
      </c>
      <c r="B185" s="13" t="s">
        <v>187</v>
      </c>
      <c r="C185" s="13" t="s">
        <v>335</v>
      </c>
      <c r="D185" s="14" t="n">
        <v>46140</v>
      </c>
      <c r="E185" s="41" t="s">
        <v>195</v>
      </c>
      <c r="F185" s="42" t="n">
        <v>5.1</v>
      </c>
      <c r="G185" s="42" t="n">
        <v>5.1</v>
      </c>
      <c r="H185" s="42" t="n">
        <v>5.2</v>
      </c>
      <c r="I185" s="42" t="n">
        <v>5.2</v>
      </c>
      <c r="J185" s="42" t="n">
        <v>5.3</v>
      </c>
      <c r="K185" s="42" t="n">
        <v>4.9</v>
      </c>
      <c r="L185" s="42" t="n">
        <v>5.3</v>
      </c>
      <c r="M185" s="42" t="n">
        <v>4.6</v>
      </c>
      <c r="N185" s="42" t="n">
        <v>5.1</v>
      </c>
      <c r="O185" s="42" t="n">
        <v>5.2</v>
      </c>
      <c r="P185" s="42" t="n">
        <v>5.5</v>
      </c>
      <c r="Q185" s="42" t="n">
        <v>6</v>
      </c>
      <c r="R185" s="42" t="n">
        <v>6</v>
      </c>
      <c r="S185" s="37" t="n">
        <f aca="false">AVERAGE(G185:J185)</f>
        <v>5.2</v>
      </c>
      <c r="T185" s="37" t="n">
        <f aca="false">AVERAGE(K185:M185)</f>
        <v>4.93333333333333</v>
      </c>
      <c r="U185" s="37" t="n">
        <f aca="false">AVERAGE(N185:O185)</f>
        <v>5.15</v>
      </c>
      <c r="V185" s="23" t="str">
        <f aca="false">IF(S185&gt;='판정 기준'!$B$3,"H","L")&amp;IF(T185&gt;='판정 기준'!$B$3,"H","L")&amp;IF(U185&gt;='판정 기준'!$B$3,"H","L")</f>
        <v>HHH</v>
      </c>
      <c r="W185" s="36" t="str">
        <f aca="false">INDEX('포지션 정의'!$A$2:$A$9,MATCH(V185,'포지션 정의'!$D$2:$D$9,0))</f>
        <v>H</v>
      </c>
      <c r="X185" s="36" t="str">
        <f aca="false">INDEX('포지션 정의'!$B$2:$B$9,MATCH(V185,'포지션 정의'!$D$2:$D$9,0))</f>
        <v>올라운드 밸런스형</v>
      </c>
      <c r="Y185" s="43" t="str">
        <f aca="false">IF(AJ185="","가장 높은 지표: "&amp;AP185,LEFT(AJ185,LEN(AJ185)-2))</f>
        <v>경기긴장도, 사회적 도움 활용, 경기 준비 능력, 실수 후 회복력, 자기 통제력</v>
      </c>
      <c r="Z185" s="43" t="str">
        <f aca="false">IF(MAX(AK185:AO185)=0,"심화: "&amp;IF(N185=MIN(G185,Q185,K185,N185,P185),"실수 후 회복력",IF(K185=MIN(G185,Q185,K185,N185,P185),"경기 준비 능력",IF(G185=MIN(G185,Q185,K185,N185,P185),"경기긴장도",IF(P185=MIN(G185,Q185,K185,N185,P185),"자기 통제력","사회적 도움 활용")))),IF(MAX(AK185:AO185)&gt;='판정 기준'!$B$8-'판정 기준'!$B$4,IF(AN185=MAX(AK185:AO185),"실수 후 회복력",IF(AM185=MAX(AK185:AO185),"경기 준비 능력",IF(AK185=MAX(AK185:AO185),"경기긴장도",IF(AO185=MAX(AK185:AO185),"자기 통제력","사회적 도움 활용")))),IF(AN185&gt;0,"실수 후 회복력",IF(AM185&gt;0,"경기 준비 능력",IF(AK185&gt;0,"경기긴장도",IF(AO185&gt;0,"자기 통제력","사회적 도움 활용"))))))</f>
        <v>심화: 경기 준비 능력</v>
      </c>
      <c r="AA185" s="43" t="str">
        <f aca="false">INDEX('포지션 정의'!$L$2:$L$9,MATCH(V185,'포지션 정의'!$D$2:$D$9,0))</f>
        <v>크리스티아누 호날두 · 루카 모드리치 · 버질 반 다이크</v>
      </c>
      <c r="AB185" s="24" t="n">
        <f aca="false">ROUND(100*(1-SQRT(((S185-'포지션 정의'!$N$2)^2+(T185-'포지션 정의'!$O$2)^2+(U185-'포지션 정의'!$P$2)^2)/3)/'판정 기준'!$B$7),0)</f>
        <v>77</v>
      </c>
      <c r="AC185" s="24" t="n">
        <f aca="false">ROUND(100*(1-SQRT(((S185-'포지션 정의'!$N$3)^2+(T185-'포지션 정의'!$O$3)^2+(U185-'포지션 정의'!$P$3)^2)/3)/'판정 기준'!$B$7),0)</f>
        <v>84</v>
      </c>
      <c r="AD185" s="24" t="n">
        <f aca="false">ROUND(100*(1-SQRT(((S185-'포지션 정의'!$N$4)^2+(T185-'포지션 정의'!$O$4)^2+(U185-'포지션 정의'!$P$4)^2)/3)/'판정 기준'!$B$7),0)</f>
        <v>80</v>
      </c>
      <c r="AE185" s="24" t="n">
        <f aca="false">ROUND(100*(1-SQRT(((S185-'포지션 정의'!$N$5)^2+(T185-'포지션 정의'!$O$5)^2+(U185-'포지션 정의'!$P$5)^2)/3)/'판정 기준'!$B$7),0)</f>
        <v>87</v>
      </c>
      <c r="AF185" s="24" t="n">
        <f aca="false">ROUND(100*(1-SQRT(((S185-'포지션 정의'!$N$6)^2+(T185-'포지션 정의'!$O$6)^2+(U185-'포지션 정의'!$P$6)^2)/3)/'판정 기준'!$B$7),0)</f>
        <v>79</v>
      </c>
      <c r="AG185" s="24" t="n">
        <f aca="false">ROUND(100*(1-SQRT(((S185-'포지션 정의'!$N$7)^2+(T185-'포지션 정의'!$O$7)^2+(U185-'포지션 정의'!$P$7)^2)/3)/'판정 기준'!$B$7),0)</f>
        <v>84</v>
      </c>
      <c r="AH185" s="24" t="n">
        <f aca="false">ROUND(100*(1-SQRT(((S185-'포지션 정의'!$N$8)^2+(T185-'포지션 정의'!$O$8)^2+(U185-'포지션 정의'!$P$8)^2)/3)/'판정 기준'!$B$7),0)</f>
        <v>74</v>
      </c>
      <c r="AI185" s="24" t="n">
        <f aca="false">ROUND(100*(1-SQRT(((S185-'포지션 정의'!$N$9)^2+(T185-'포지션 정의'!$O$9)^2+(U185-'포지션 정의'!$P$9)^2)/3)/'판정 기준'!$B$7),0)</f>
        <v>97</v>
      </c>
      <c r="AJ185" s="23" t="str">
        <f aca="false">IF(G185&gt;='판정 기준'!$B$8,"경기긴장도, ","")&amp;IF(Q185&gt;='판정 기준'!$B$8,"사회적 도움 활용, ","")&amp;IF(K185&gt;='판정 기준'!$B$8,"경기 준비 능력, ","")&amp;IF(N185&gt;='판정 기준'!$B$8,"실수 후 회복력, ","")&amp;IF(P185&gt;='판정 기준'!$B$8,"자기 통제력, ","")</f>
        <v>경기긴장도, 사회적 도움 활용, 경기 준비 능력, 실수 후 회복력, 자기 통제력, </v>
      </c>
      <c r="AK185" s="23" t="n">
        <f aca="false">IF(AND(G185&lt;'판정 기준'!$B$8,OR(AJ185&lt;&gt;"",AP185&lt;&gt;"경기긴장도")),G185,0)</f>
        <v>0</v>
      </c>
      <c r="AL185" s="23" t="n">
        <f aca="false">IF(AND(Q185&lt;'판정 기준'!$B$8,OR(AJ185&lt;&gt;"",AP185&lt;&gt;"사회적 도움 활용")),Q185,0)</f>
        <v>0</v>
      </c>
      <c r="AM185" s="23" t="n">
        <f aca="false">IF(AND(K185&lt;'판정 기준'!$B$8,OR(AJ185&lt;&gt;"",AP185&lt;&gt;"경기 준비 능력")),K185,0)</f>
        <v>0</v>
      </c>
      <c r="AN185" s="23" t="n">
        <f aca="false">IF(AND(N185&lt;'판정 기준'!$B$8,OR(AJ185&lt;&gt;"",AP185&lt;&gt;"실수 후 회복력")),N185,0)</f>
        <v>0</v>
      </c>
      <c r="AO185" s="23" t="n">
        <f aca="false">IF(AND(P185&lt;'판정 기준'!$B$8,OR(AJ185&lt;&gt;"",AP185&lt;&gt;"자기 통제력")),P185,0)</f>
        <v>0</v>
      </c>
      <c r="AP185" s="23" t="str">
        <f aca="false">IF(Q185=MAX(G185,Q185,K185,N185,P185),"사회적 도움 활용",IF(P185=MAX(G185,Q185,K185,N185,P185),"자기 통제력",IF(G185=MAX(G185,Q185,K185,N185,P185),"경기긴장도",IF(K185=MAX(G185,Q185,K185,N185,P185),"경기 준비 능력","실수 후 회복력"))))</f>
        <v>사회적 도움 활용</v>
      </c>
    </row>
    <row r="186" customFormat="false" ht="17.15" hidden="false" customHeight="false" outlineLevel="0" collapsed="false">
      <c r="A186" s="13" t="s">
        <v>404</v>
      </c>
      <c r="B186" s="13" t="s">
        <v>187</v>
      </c>
      <c r="C186" s="41" t="s">
        <v>405</v>
      </c>
      <c r="D186" s="14" t="n">
        <v>46134</v>
      </c>
      <c r="E186" s="41" t="s">
        <v>195</v>
      </c>
      <c r="F186" s="42" t="n">
        <v>4.8</v>
      </c>
      <c r="G186" s="42" t="n">
        <v>4.8</v>
      </c>
      <c r="H186" s="42" t="n">
        <v>5</v>
      </c>
      <c r="I186" s="42" t="n">
        <v>5</v>
      </c>
      <c r="J186" s="42" t="n">
        <v>4.2</v>
      </c>
      <c r="K186" s="42" t="n">
        <v>4.6</v>
      </c>
      <c r="L186" s="42" t="n">
        <v>4.3</v>
      </c>
      <c r="M186" s="42" t="n">
        <v>4.9</v>
      </c>
      <c r="N186" s="42" t="n">
        <v>5.6</v>
      </c>
      <c r="O186" s="42" t="n">
        <v>5.8</v>
      </c>
      <c r="P186" s="42" t="n">
        <v>3.8</v>
      </c>
      <c r="Q186" s="42" t="n">
        <v>5.2</v>
      </c>
      <c r="R186" s="42" t="n">
        <v>6</v>
      </c>
      <c r="S186" s="37" t="n">
        <f aca="false">AVERAGE(G186:J186)</f>
        <v>4.75</v>
      </c>
      <c r="T186" s="37" t="n">
        <f aca="false">AVERAGE(K186:M186)</f>
        <v>4.6</v>
      </c>
      <c r="U186" s="37" t="n">
        <f aca="false">AVERAGE(N186:O186)</f>
        <v>5.7</v>
      </c>
      <c r="V186" s="23" t="str">
        <f aca="false">IF(S186&gt;='판정 기준'!$B$3,"H","L")&amp;IF(T186&gt;='판정 기준'!$B$3,"H","L")&amp;IF(U186&gt;='판정 기준'!$B$3,"H","L")</f>
        <v>HHH</v>
      </c>
      <c r="W186" s="36" t="str">
        <f aca="false">INDEX('포지션 정의'!$A$2:$A$9,MATCH(V186,'포지션 정의'!$D$2:$D$9,0))</f>
        <v>H</v>
      </c>
      <c r="X186" s="36" t="str">
        <f aca="false">INDEX('포지션 정의'!$B$2:$B$9,MATCH(V186,'포지션 정의'!$D$2:$D$9,0))</f>
        <v>올라운드 밸런스형</v>
      </c>
      <c r="Y186" s="43" t="str">
        <f aca="false">IF(AJ186="","가장 높은 지표: "&amp;AP186,LEFT(AJ186,LEN(AJ186)-2))</f>
        <v>경기긴장도, 사회적 도움 활용, 실수 후 회복력</v>
      </c>
      <c r="Z186" s="43" t="str">
        <f aca="false">IF(MAX(AK186:AO186)=0,"심화: "&amp;IF(N186=MIN(G186,Q186,K186,N186,P186),"실수 후 회복력",IF(K186=MIN(G186,Q186,K186,N186,P186),"경기 준비 능력",IF(G186=MIN(G186,Q186,K186,N186,P186),"경기긴장도",IF(P186=MIN(G186,Q186,K186,N186,P186),"자기 통제력","사회적 도움 활용")))),IF(MAX(AK186:AO186)&gt;='판정 기준'!$B$8-'판정 기준'!$B$4,IF(AN186=MAX(AK186:AO186),"실수 후 회복력",IF(AM186=MAX(AK186:AO186),"경기 준비 능력",IF(AK186=MAX(AK186:AO186),"경기긴장도",IF(AO186=MAX(AK186:AO186),"자기 통제력","사회적 도움 활용")))),IF(AN186&gt;0,"실수 후 회복력",IF(AM186&gt;0,"경기 준비 능력",IF(AK186&gt;0,"경기긴장도",IF(AO186&gt;0,"자기 통제력","사회적 도움 활용"))))))</f>
        <v>경기 준비 능력</v>
      </c>
      <c r="AA186" s="43" t="str">
        <f aca="false">INDEX('포지션 정의'!$L$2:$L$9,MATCH(V186,'포지션 정의'!$D$2:$D$9,0))</f>
        <v>크리스티아누 호날두 · 루카 모드리치 · 버질 반 다이크</v>
      </c>
      <c r="AB186" s="24" t="n">
        <f aca="false">ROUND(100*(1-SQRT(((S186-'포지션 정의'!$N$2)^2+(T186-'포지션 정의'!$O$2)^2+(U186-'포지션 정의'!$P$2)^2)/3)/'판정 기준'!$B$7),0)</f>
        <v>75</v>
      </c>
      <c r="AC186" s="24" t="n">
        <f aca="false">ROUND(100*(1-SQRT(((S186-'포지션 정의'!$N$3)^2+(T186-'포지션 정의'!$O$3)^2+(U186-'포지션 정의'!$P$3)^2)/3)/'판정 기준'!$B$7),0)</f>
        <v>76</v>
      </c>
      <c r="AD186" s="24" t="n">
        <f aca="false">ROUND(100*(1-SQRT(((S186-'포지션 정의'!$N$4)^2+(T186-'포지션 정의'!$O$4)^2+(U186-'포지션 정의'!$P$4)^2)/3)/'판정 기준'!$B$7),0)</f>
        <v>76</v>
      </c>
      <c r="AE186" s="24" t="n">
        <f aca="false">ROUND(100*(1-SQRT(((S186-'포지션 정의'!$N$5)^2+(T186-'포지션 정의'!$O$5)^2+(U186-'포지션 정의'!$P$5)^2)/3)/'판정 기준'!$B$7),0)</f>
        <v>88</v>
      </c>
      <c r="AF186" s="24" t="n">
        <f aca="false">ROUND(100*(1-SQRT(((S186-'포지션 정의'!$N$6)^2+(T186-'포지션 정의'!$O$6)^2+(U186-'포지션 정의'!$P$6)^2)/3)/'판정 기준'!$B$7),0)</f>
        <v>85</v>
      </c>
      <c r="AG186" s="24" t="n">
        <f aca="false">ROUND(100*(1-SQRT(((S186-'포지션 정의'!$N$7)^2+(T186-'포지션 정의'!$O$7)^2+(U186-'포지션 정의'!$P$7)^2)/3)/'판정 기준'!$B$7),0)</f>
        <v>86</v>
      </c>
      <c r="AH186" s="24" t="n">
        <f aca="false">ROUND(100*(1-SQRT(((S186-'포지션 정의'!$N$8)^2+(T186-'포지션 정의'!$O$8)^2+(U186-'포지션 정의'!$P$8)^2)/3)/'판정 기준'!$B$7),0)</f>
        <v>74</v>
      </c>
      <c r="AI186" s="24" t="n">
        <f aca="false">ROUND(100*(1-SQRT(((S186-'포지션 정의'!$N$9)^2+(T186-'포지션 정의'!$O$9)^2+(U186-'포지션 정의'!$P$9)^2)/3)/'판정 기준'!$B$7),0)</f>
        <v>90</v>
      </c>
      <c r="AJ186" s="23" t="str">
        <f aca="false">IF(G186&gt;='판정 기준'!$B$8,"경기긴장도, ","")&amp;IF(Q186&gt;='판정 기준'!$B$8,"사회적 도움 활용, ","")&amp;IF(K186&gt;='판정 기준'!$B$8,"경기 준비 능력, ","")&amp;IF(N186&gt;='판정 기준'!$B$8,"실수 후 회복력, ","")&amp;IF(P186&gt;='판정 기준'!$B$8,"자기 통제력, ","")</f>
        <v>경기긴장도, 사회적 도움 활용, 실수 후 회복력, </v>
      </c>
      <c r="AK186" s="23" t="n">
        <f aca="false">IF(AND(G186&lt;'판정 기준'!$B$8,OR(AJ186&lt;&gt;"",AP186&lt;&gt;"경기긴장도")),G186,0)</f>
        <v>0</v>
      </c>
      <c r="AL186" s="23" t="n">
        <f aca="false">IF(AND(Q186&lt;'판정 기준'!$B$8,OR(AJ186&lt;&gt;"",AP186&lt;&gt;"사회적 도움 활용")),Q186,0)</f>
        <v>0</v>
      </c>
      <c r="AM186" s="23" t="n">
        <f aca="false">IF(AND(K186&lt;'판정 기준'!$B$8,OR(AJ186&lt;&gt;"",AP186&lt;&gt;"경기 준비 능력")),K186,0)</f>
        <v>4.6</v>
      </c>
      <c r="AN186" s="23" t="n">
        <f aca="false">IF(AND(N186&lt;'판정 기준'!$B$8,OR(AJ186&lt;&gt;"",AP186&lt;&gt;"실수 후 회복력")),N186,0)</f>
        <v>0</v>
      </c>
      <c r="AO186" s="23" t="n">
        <f aca="false">IF(AND(P186&lt;'판정 기준'!$B$8,OR(AJ186&lt;&gt;"",AP186&lt;&gt;"자기 통제력")),P186,0)</f>
        <v>3.8</v>
      </c>
      <c r="AP186" s="23" t="str">
        <f aca="false">IF(Q186=MAX(G186,Q186,K186,N186,P186),"사회적 도움 활용",IF(P186=MAX(G186,Q186,K186,N186,P186),"자기 통제력",IF(G186=MAX(G186,Q186,K186,N186,P186),"경기긴장도",IF(K186=MAX(G186,Q186,K186,N186,P186),"경기 준비 능력","실수 후 회복력"))))</f>
        <v>실수 후 회복력</v>
      </c>
    </row>
    <row r="187" customFormat="false" ht="17.15" hidden="false" customHeight="false" outlineLevel="0" collapsed="false">
      <c r="A187" s="13" t="s">
        <v>406</v>
      </c>
      <c r="B187" s="13" t="s">
        <v>187</v>
      </c>
      <c r="C187" s="41" t="s">
        <v>405</v>
      </c>
      <c r="D187" s="14" t="n">
        <v>46134</v>
      </c>
      <c r="E187" s="41" t="s">
        <v>195</v>
      </c>
      <c r="F187" s="42" t="n">
        <v>4.3</v>
      </c>
      <c r="G187" s="42" t="n">
        <v>4.4</v>
      </c>
      <c r="H187" s="42" t="n">
        <v>5.3</v>
      </c>
      <c r="I187" s="42" t="n">
        <v>3.8</v>
      </c>
      <c r="J187" s="42" t="n">
        <v>5</v>
      </c>
      <c r="K187" s="42" t="n">
        <v>5.4</v>
      </c>
      <c r="L187" s="42" t="n">
        <v>5.3</v>
      </c>
      <c r="M187" s="42" t="n">
        <v>5.4</v>
      </c>
      <c r="N187" s="42" t="n">
        <v>4.1</v>
      </c>
      <c r="O187" s="42" t="n">
        <v>5</v>
      </c>
      <c r="P187" s="42" t="n">
        <v>3.3</v>
      </c>
      <c r="Q187" s="42" t="n">
        <v>5.4</v>
      </c>
      <c r="R187" s="42" t="n">
        <v>6</v>
      </c>
      <c r="S187" s="37" t="n">
        <f aca="false">AVERAGE(G187:J187)</f>
        <v>4.625</v>
      </c>
      <c r="T187" s="37" t="n">
        <f aca="false">AVERAGE(K187:M187)</f>
        <v>5.36666666666667</v>
      </c>
      <c r="U187" s="37" t="n">
        <f aca="false">AVERAGE(N187:O187)</f>
        <v>4.55</v>
      </c>
      <c r="V187" s="23" t="str">
        <f aca="false">IF(S187&gt;='판정 기준'!$B$3,"H","L")&amp;IF(T187&gt;='판정 기준'!$B$3,"H","L")&amp;IF(U187&gt;='판정 기준'!$B$3,"H","L")</f>
        <v>HHH</v>
      </c>
      <c r="W187" s="36" t="str">
        <f aca="false">INDEX('포지션 정의'!$A$2:$A$9,MATCH(V187,'포지션 정의'!$D$2:$D$9,0))</f>
        <v>H</v>
      </c>
      <c r="X187" s="36" t="str">
        <f aca="false">INDEX('포지션 정의'!$B$2:$B$9,MATCH(V187,'포지션 정의'!$D$2:$D$9,0))</f>
        <v>올라운드 밸런스형</v>
      </c>
      <c r="Y187" s="43" t="str">
        <f aca="false">IF(AJ187="","가장 높은 지표: "&amp;AP187,LEFT(AJ187,LEN(AJ187)-2))</f>
        <v>사회적 도움 활용, 경기 준비 능력</v>
      </c>
      <c r="Z187" s="43" t="str">
        <f aca="false">IF(MAX(AK187:AO187)=0,"심화: "&amp;IF(N187=MIN(G187,Q187,K187,N187,P187),"실수 후 회복력",IF(K187=MIN(G187,Q187,K187,N187,P187),"경기 준비 능력",IF(G187=MIN(G187,Q187,K187,N187,P187),"경기긴장도",IF(P187=MIN(G187,Q187,K187,N187,P187),"자기 통제력","사회적 도움 활용")))),IF(MAX(AK187:AO187)&gt;='판정 기준'!$B$8-'판정 기준'!$B$4,IF(AN187=MAX(AK187:AO187),"실수 후 회복력",IF(AM187=MAX(AK187:AO187),"경기 준비 능력",IF(AK187=MAX(AK187:AO187),"경기긴장도",IF(AO187=MAX(AK187:AO187),"자기 통제력","사회적 도움 활용")))),IF(AN187&gt;0,"실수 후 회복력",IF(AM187&gt;0,"경기 준비 능력",IF(AK187&gt;0,"경기긴장도",IF(AO187&gt;0,"자기 통제력","사회적 도움 활용"))))))</f>
        <v>실수 후 회복력</v>
      </c>
      <c r="AA187" s="43" t="str">
        <f aca="false">INDEX('포지션 정의'!$L$2:$L$9,MATCH(V187,'포지션 정의'!$D$2:$D$9,0))</f>
        <v>크리스티아누 호날두 · 루카 모드리치 · 버질 반 다이크</v>
      </c>
      <c r="AB187" s="24" t="n">
        <f aca="false">ROUND(100*(1-SQRT(((S187-'포지션 정의'!$N$2)^2+(T187-'포지션 정의'!$O$2)^2+(U187-'포지션 정의'!$P$2)^2)/3)/'판정 기준'!$B$7),0)</f>
        <v>87</v>
      </c>
      <c r="AC187" s="24" t="n">
        <f aca="false">ROUND(100*(1-SQRT(((S187-'포지션 정의'!$N$3)^2+(T187-'포지션 정의'!$O$3)^2+(U187-'포지션 정의'!$P$3)^2)/3)/'판정 기준'!$B$7),0)</f>
        <v>89</v>
      </c>
      <c r="AD187" s="24" t="n">
        <f aca="false">ROUND(100*(1-SQRT(((S187-'포지션 정의'!$N$4)^2+(T187-'포지션 정의'!$O$4)^2+(U187-'포지션 정의'!$P$4)^2)/3)/'판정 기준'!$B$7),0)</f>
        <v>79</v>
      </c>
      <c r="AE187" s="24" t="n">
        <f aca="false">ROUND(100*(1-SQRT(((S187-'포지션 정의'!$N$5)^2+(T187-'포지션 정의'!$O$5)^2+(U187-'포지션 정의'!$P$5)^2)/3)/'판정 기준'!$B$7),0)</f>
        <v>79</v>
      </c>
      <c r="AF187" s="24" t="n">
        <f aca="false">ROUND(100*(1-SQRT(((S187-'포지션 정의'!$N$6)^2+(T187-'포지션 정의'!$O$6)^2+(U187-'포지션 정의'!$P$6)^2)/3)/'판정 기준'!$B$7),0)</f>
        <v>78</v>
      </c>
      <c r="AG187" s="24" t="n">
        <f aca="false">ROUND(100*(1-SQRT(((S187-'포지션 정의'!$N$7)^2+(T187-'포지션 정의'!$O$7)^2+(U187-'포지션 정의'!$P$7)^2)/3)/'판정 기준'!$B$7),0)</f>
        <v>88</v>
      </c>
      <c r="AH187" s="24" t="n">
        <f aca="false">ROUND(100*(1-SQRT(((S187-'포지션 정의'!$N$8)^2+(T187-'포지션 정의'!$O$8)^2+(U187-'포지션 정의'!$P$8)^2)/3)/'판정 기준'!$B$7),0)</f>
        <v>78</v>
      </c>
      <c r="AI187" s="24" t="n">
        <f aca="false">ROUND(100*(1-SQRT(((S187-'포지션 정의'!$N$9)^2+(T187-'포지션 정의'!$O$9)^2+(U187-'포지션 정의'!$P$9)^2)/3)/'판정 기준'!$B$7),0)</f>
        <v>90</v>
      </c>
      <c r="AJ187" s="23" t="str">
        <f aca="false">IF(G187&gt;='판정 기준'!$B$8,"경기긴장도, ","")&amp;IF(Q187&gt;='판정 기준'!$B$8,"사회적 도움 활용, ","")&amp;IF(K187&gt;='판정 기준'!$B$8,"경기 준비 능력, ","")&amp;IF(N187&gt;='판정 기준'!$B$8,"실수 후 회복력, ","")&amp;IF(P187&gt;='판정 기준'!$B$8,"자기 통제력, ","")</f>
        <v>사회적 도움 활용, 경기 준비 능력, </v>
      </c>
      <c r="AK187" s="23" t="n">
        <f aca="false">IF(AND(G187&lt;'판정 기준'!$B$8,OR(AJ187&lt;&gt;"",AP187&lt;&gt;"경기긴장도")),G187,0)</f>
        <v>4.4</v>
      </c>
      <c r="AL187" s="23" t="n">
        <f aca="false">IF(AND(Q187&lt;'판정 기준'!$B$8,OR(AJ187&lt;&gt;"",AP187&lt;&gt;"사회적 도움 활용")),Q187,0)</f>
        <v>0</v>
      </c>
      <c r="AM187" s="23" t="n">
        <f aca="false">IF(AND(K187&lt;'판정 기준'!$B$8,OR(AJ187&lt;&gt;"",AP187&lt;&gt;"경기 준비 능력")),K187,0)</f>
        <v>0</v>
      </c>
      <c r="AN187" s="23" t="n">
        <f aca="false">IF(AND(N187&lt;'판정 기준'!$B$8,OR(AJ187&lt;&gt;"",AP187&lt;&gt;"실수 후 회복력")),N187,0)</f>
        <v>4.1</v>
      </c>
      <c r="AO187" s="23" t="n">
        <f aca="false">IF(AND(P187&lt;'판정 기준'!$B$8,OR(AJ187&lt;&gt;"",AP187&lt;&gt;"자기 통제력")),P187,0)</f>
        <v>3.3</v>
      </c>
      <c r="AP187" s="23" t="str">
        <f aca="false">IF(Q187=MAX(G187,Q187,K187,N187,P187),"사회적 도움 활용",IF(P187=MAX(G187,Q187,K187,N187,P187),"자기 통제력",IF(G187=MAX(G187,Q187,K187,N187,P187),"경기긴장도",IF(K187=MAX(G187,Q187,K187,N187,P187),"경기 준비 능력","실수 후 회복력"))))</f>
        <v>사회적 도움 활용</v>
      </c>
    </row>
    <row r="188" customFormat="false" ht="17.15" hidden="false" customHeight="false" outlineLevel="0" collapsed="false">
      <c r="A188" s="13" t="s">
        <v>407</v>
      </c>
      <c r="B188" s="13" t="s">
        <v>187</v>
      </c>
      <c r="C188" s="41" t="s">
        <v>405</v>
      </c>
      <c r="D188" s="14" t="n">
        <v>46134</v>
      </c>
      <c r="E188" s="41" t="s">
        <v>198</v>
      </c>
      <c r="F188" s="42" t="n">
        <v>5</v>
      </c>
      <c r="G188" s="42" t="n">
        <v>4.2</v>
      </c>
      <c r="H188" s="42" t="n">
        <v>5</v>
      </c>
      <c r="I188" s="42" t="n">
        <v>5.2</v>
      </c>
      <c r="J188" s="42" t="n">
        <v>5.2</v>
      </c>
      <c r="K188" s="42" t="n">
        <v>4.3</v>
      </c>
      <c r="L188" s="42" t="n">
        <v>4.3</v>
      </c>
      <c r="M188" s="42" t="n">
        <v>4.3</v>
      </c>
      <c r="N188" s="42" t="n">
        <v>5.4</v>
      </c>
      <c r="O188" s="42" t="n">
        <v>5.3</v>
      </c>
      <c r="P188" s="42" t="n">
        <v>4.8</v>
      </c>
      <c r="Q188" s="42" t="n">
        <v>6</v>
      </c>
      <c r="R188" s="42" t="n">
        <v>5.7</v>
      </c>
      <c r="S188" s="37" t="n">
        <f aca="false">AVERAGE(G188:J188)</f>
        <v>4.9</v>
      </c>
      <c r="T188" s="37" t="n">
        <f aca="false">AVERAGE(K188:M188)</f>
        <v>4.3</v>
      </c>
      <c r="U188" s="37" t="n">
        <f aca="false">AVERAGE(N188:O188)</f>
        <v>5.35</v>
      </c>
      <c r="V188" s="23" t="str">
        <f aca="false">IF(S188&gt;='판정 기준'!$B$3,"H","L")&amp;IF(T188&gt;='판정 기준'!$B$3,"H","L")&amp;IF(U188&gt;='판정 기준'!$B$3,"H","L")</f>
        <v>HLH</v>
      </c>
      <c r="W188" s="36" t="str">
        <f aca="false">INDEX('포지션 정의'!$A$2:$A$9,MATCH(V188,'포지션 정의'!$D$2:$D$9,0))</f>
        <v>D</v>
      </c>
      <c r="X188" s="36" t="str">
        <f aca="false">INDEX('포지션 정의'!$B$2:$B$9,MATCH(V188,'포지션 정의'!$D$2:$D$9,0))</f>
        <v>실전 승부사형</v>
      </c>
      <c r="Y188" s="43" t="str">
        <f aca="false">IF(AJ188="","가장 높은 지표: "&amp;AP188,LEFT(AJ188,LEN(AJ188)-2))</f>
        <v>사회적 도움 활용, 실수 후 회복력, 자기 통제력</v>
      </c>
      <c r="Z188" s="43" t="str">
        <f aca="false">IF(MAX(AK188:AO188)=0,"심화: "&amp;IF(N188=MIN(G188,Q188,K188,N188,P188),"실수 후 회복력",IF(K188=MIN(G188,Q188,K188,N188,P188),"경기 준비 능력",IF(G188=MIN(G188,Q188,K188,N188,P188),"경기긴장도",IF(P188=MIN(G188,Q188,K188,N188,P188),"자기 통제력","사회적 도움 활용")))),IF(MAX(AK188:AO188)&gt;='판정 기준'!$B$8-'판정 기준'!$B$4,IF(AN188=MAX(AK188:AO188),"실수 후 회복력",IF(AM188=MAX(AK188:AO188),"경기 준비 능력",IF(AK188=MAX(AK188:AO188),"경기긴장도",IF(AO188=MAX(AK188:AO188),"자기 통제력","사회적 도움 활용")))),IF(AN188&gt;0,"실수 후 회복력",IF(AM188&gt;0,"경기 준비 능력",IF(AK188&gt;0,"경기긴장도",IF(AO188&gt;0,"자기 통제력","사회적 도움 활용"))))))</f>
        <v>경기 준비 능력</v>
      </c>
      <c r="AA188" s="43" t="str">
        <f aca="false">INDEX('포지션 정의'!$L$2:$L$9,MATCH(V188,'포지션 정의'!$D$2:$D$9,0))</f>
        <v>즐라탄 이브라히모비치 · 호나우지뉴 · 디에고 마라도나</v>
      </c>
      <c r="AB188" s="24" t="n">
        <f aca="false">ROUND(100*(1-SQRT(((S188-'포지션 정의'!$N$2)^2+(T188-'포지션 정의'!$O$2)^2+(U188-'포지션 정의'!$P$2)^2)/3)/'판정 기준'!$B$7),0)</f>
        <v>76</v>
      </c>
      <c r="AC188" s="24" t="n">
        <f aca="false">ROUND(100*(1-SQRT(((S188-'포지션 정의'!$N$3)^2+(T188-'포지션 정의'!$O$3)^2+(U188-'포지션 정의'!$P$3)^2)/3)/'판정 기준'!$B$7),0)</f>
        <v>79</v>
      </c>
      <c r="AD188" s="24" t="n">
        <f aca="false">ROUND(100*(1-SQRT(((S188-'포지션 정의'!$N$4)^2+(T188-'포지션 정의'!$O$4)^2+(U188-'포지션 정의'!$P$4)^2)/3)/'판정 기준'!$B$7),0)</f>
        <v>81</v>
      </c>
      <c r="AE188" s="24" t="n">
        <f aca="false">ROUND(100*(1-SQRT(((S188-'포지션 정의'!$N$5)^2+(T188-'포지션 정의'!$O$5)^2+(U188-'포지션 정의'!$P$5)^2)/3)/'판정 기준'!$B$7),0)</f>
        <v>93</v>
      </c>
      <c r="AF188" s="24" t="n">
        <f aca="false">ROUND(100*(1-SQRT(((S188-'포지션 정의'!$N$6)^2+(T188-'포지션 정의'!$O$6)^2+(U188-'포지션 정의'!$P$6)^2)/3)/'판정 기준'!$B$7),0)</f>
        <v>86</v>
      </c>
      <c r="AG188" s="24" t="n">
        <f aca="false">ROUND(100*(1-SQRT(((S188-'포지션 정의'!$N$7)^2+(T188-'포지션 정의'!$O$7)^2+(U188-'포지션 정의'!$P$7)^2)/3)/'판정 기준'!$B$7),0)</f>
        <v>83</v>
      </c>
      <c r="AH188" s="24" t="n">
        <f aca="false">ROUND(100*(1-SQRT(((S188-'포지션 정의'!$N$8)^2+(T188-'포지션 정의'!$O$8)^2+(U188-'포지션 정의'!$P$8)^2)/3)/'판정 기준'!$B$7),0)</f>
        <v>77</v>
      </c>
      <c r="AI188" s="24" t="n">
        <f aca="false">ROUND(100*(1-SQRT(((S188-'포지션 정의'!$N$9)^2+(T188-'포지션 정의'!$O$9)^2+(U188-'포지션 정의'!$P$9)^2)/3)/'판정 기준'!$B$7),0)</f>
        <v>89</v>
      </c>
      <c r="AJ188" s="23" t="str">
        <f aca="false">IF(G188&gt;='판정 기준'!$B$8,"경기긴장도, ","")&amp;IF(Q188&gt;='판정 기준'!$B$8,"사회적 도움 활용, ","")&amp;IF(K188&gt;='판정 기준'!$B$8,"경기 준비 능력, ","")&amp;IF(N188&gt;='판정 기준'!$B$8,"실수 후 회복력, ","")&amp;IF(P188&gt;='판정 기준'!$B$8,"자기 통제력, ","")</f>
        <v>사회적 도움 활용, 실수 후 회복력, 자기 통제력, </v>
      </c>
      <c r="AK188" s="23" t="n">
        <f aca="false">IF(AND(G188&lt;'판정 기준'!$B$8,OR(AJ188&lt;&gt;"",AP188&lt;&gt;"경기긴장도")),G188,0)</f>
        <v>4.2</v>
      </c>
      <c r="AL188" s="23" t="n">
        <f aca="false">IF(AND(Q188&lt;'판정 기준'!$B$8,OR(AJ188&lt;&gt;"",AP188&lt;&gt;"사회적 도움 활용")),Q188,0)</f>
        <v>0</v>
      </c>
      <c r="AM188" s="23" t="n">
        <f aca="false">IF(AND(K188&lt;'판정 기준'!$B$8,OR(AJ188&lt;&gt;"",AP188&lt;&gt;"경기 준비 능력")),K188,0)</f>
        <v>4.3</v>
      </c>
      <c r="AN188" s="23" t="n">
        <f aca="false">IF(AND(N188&lt;'판정 기준'!$B$8,OR(AJ188&lt;&gt;"",AP188&lt;&gt;"실수 후 회복력")),N188,0)</f>
        <v>0</v>
      </c>
      <c r="AO188" s="23" t="n">
        <f aca="false">IF(AND(P188&lt;'판정 기준'!$B$8,OR(AJ188&lt;&gt;"",AP188&lt;&gt;"자기 통제력")),P188,0)</f>
        <v>0</v>
      </c>
      <c r="AP188" s="23" t="str">
        <f aca="false">IF(Q188=MAX(G188,Q188,K188,N188,P188),"사회적 도움 활용",IF(P188=MAX(G188,Q188,K188,N188,P188),"자기 통제력",IF(G188=MAX(G188,Q188,K188,N188,P188),"경기긴장도",IF(K188=MAX(G188,Q188,K188,N188,P188),"경기 준비 능력","실수 후 회복력"))))</f>
        <v>사회적 도움 활용</v>
      </c>
    </row>
    <row r="189" customFormat="false" ht="17.15" hidden="false" customHeight="false" outlineLevel="0" collapsed="false">
      <c r="A189" s="13" t="s">
        <v>408</v>
      </c>
      <c r="B189" s="13" t="s">
        <v>187</v>
      </c>
      <c r="C189" s="41" t="s">
        <v>405</v>
      </c>
      <c r="D189" s="14" t="n">
        <v>46134</v>
      </c>
      <c r="E189" s="41" t="s">
        <v>198</v>
      </c>
      <c r="F189" s="42" t="n">
        <v>4</v>
      </c>
      <c r="G189" s="42" t="n">
        <v>4.4</v>
      </c>
      <c r="H189" s="42" t="n">
        <v>3.8</v>
      </c>
      <c r="I189" s="42" t="n">
        <v>5.4</v>
      </c>
      <c r="J189" s="42" t="n">
        <v>3.5</v>
      </c>
      <c r="K189" s="42" t="n">
        <v>3.2</v>
      </c>
      <c r="L189" s="42" t="n">
        <v>3.7</v>
      </c>
      <c r="M189" s="42" t="n">
        <v>2.9</v>
      </c>
      <c r="N189" s="42" t="n">
        <v>4.9</v>
      </c>
      <c r="O189" s="42" t="n">
        <v>4.8</v>
      </c>
      <c r="P189" s="42" t="n">
        <v>3.3</v>
      </c>
      <c r="Q189" s="42" t="n">
        <v>4.8</v>
      </c>
      <c r="R189" s="42" t="n">
        <v>5</v>
      </c>
      <c r="S189" s="37" t="n">
        <f aca="false">AVERAGE(G189:J189)</f>
        <v>4.275</v>
      </c>
      <c r="T189" s="37" t="n">
        <f aca="false">AVERAGE(K189:M189)</f>
        <v>3.26666666666667</v>
      </c>
      <c r="U189" s="37" t="n">
        <f aca="false">AVERAGE(N189:O189)</f>
        <v>4.85</v>
      </c>
      <c r="V189" s="23" t="str">
        <f aca="false">IF(S189&gt;='판정 기준'!$B$3,"H","L")&amp;IF(T189&gt;='판정 기준'!$B$3,"H","L")&amp;IF(U189&gt;='판정 기준'!$B$3,"H","L")</f>
        <v>LLH</v>
      </c>
      <c r="W189" s="36" t="str">
        <f aca="false">INDEX('포지션 정의'!$A$2:$A$9,MATCH(V189,'포지션 정의'!$D$2:$D$9,0))</f>
        <v>E</v>
      </c>
      <c r="X189" s="36" t="str">
        <f aca="false">INDEX('포지션 정의'!$B$2:$B$9,MATCH(V189,'포지션 정의'!$D$2:$D$9,0))</f>
        <v>오뚝이 회복형</v>
      </c>
      <c r="Y189" s="43" t="str">
        <f aca="false">IF(AJ189="","가장 높은 지표: "&amp;AP189,LEFT(AJ189,LEN(AJ189)-2))</f>
        <v>사회적 도움 활용, 실수 후 회복력</v>
      </c>
      <c r="Z189" s="43" t="str">
        <f aca="false">IF(MAX(AK189:AO189)=0,"심화: "&amp;IF(N189=MIN(G189,Q189,K189,N189,P189),"실수 후 회복력",IF(K189=MIN(G189,Q189,K189,N189,P189),"경기 준비 능력",IF(G189=MIN(G189,Q189,K189,N189,P189),"경기긴장도",IF(P189=MIN(G189,Q189,K189,N189,P189),"자기 통제력","사회적 도움 활용")))),IF(MAX(AK189:AO189)&gt;='판정 기준'!$B$8-'판정 기준'!$B$4,IF(AN189=MAX(AK189:AO189),"실수 후 회복력",IF(AM189=MAX(AK189:AO189),"경기 준비 능력",IF(AK189=MAX(AK189:AO189),"경기긴장도",IF(AO189=MAX(AK189:AO189),"자기 통제력","사회적 도움 활용")))),IF(AN189&gt;0,"실수 후 회복력",IF(AM189&gt;0,"경기 준비 능력",IF(AK189&gt;0,"경기긴장도",IF(AO189&gt;0,"자기 통제력","사회적 도움 활용"))))))</f>
        <v>경기 준비 능력</v>
      </c>
      <c r="AA189" s="43" t="str">
        <f aca="false">INDEX('포지션 정의'!$L$2:$L$9,MATCH(V189,'포지션 정의'!$D$2:$D$9,0))</f>
        <v>올리비에 지루 · 디에고 포를란 · 라다멜 팔카오</v>
      </c>
      <c r="AB189" s="24" t="n">
        <f aca="false">ROUND(100*(1-SQRT(((S189-'포지션 정의'!$N$2)^2+(T189-'포지션 정의'!$O$2)^2+(U189-'포지션 정의'!$P$2)^2)/3)/'판정 기준'!$B$7),0)</f>
        <v>74</v>
      </c>
      <c r="AC189" s="24" t="n">
        <f aca="false">ROUND(100*(1-SQRT(((S189-'포지션 정의'!$N$3)^2+(T189-'포지션 정의'!$O$3)^2+(U189-'포지션 정의'!$P$3)^2)/3)/'판정 기준'!$B$7),0)</f>
        <v>72</v>
      </c>
      <c r="AD189" s="24" t="n">
        <f aca="false">ROUND(100*(1-SQRT(((S189-'포지션 정의'!$N$4)^2+(T189-'포지션 정의'!$O$4)^2+(U189-'포지션 정의'!$P$4)^2)/3)/'판정 기준'!$B$7),0)</f>
        <v>83</v>
      </c>
      <c r="AE189" s="24" t="n">
        <f aca="false">ROUND(100*(1-SQRT(((S189-'포지션 정의'!$N$5)^2+(T189-'포지션 정의'!$O$5)^2+(U189-'포지션 정의'!$P$5)^2)/3)/'판정 기준'!$B$7),0)</f>
        <v>87</v>
      </c>
      <c r="AF189" s="24" t="n">
        <f aca="false">ROUND(100*(1-SQRT(((S189-'포지션 정의'!$N$6)^2+(T189-'포지션 정의'!$O$6)^2+(U189-'포지션 정의'!$P$6)^2)/3)/'판정 기준'!$B$7),0)</f>
        <v>91</v>
      </c>
      <c r="AG189" s="24" t="n">
        <f aca="false">ROUND(100*(1-SQRT(((S189-'포지션 정의'!$N$7)^2+(T189-'포지션 정의'!$O$7)^2+(U189-'포지션 정의'!$P$7)^2)/3)/'판정 기준'!$B$7),0)</f>
        <v>77</v>
      </c>
      <c r="AH189" s="24" t="n">
        <f aca="false">ROUND(100*(1-SQRT(((S189-'포지션 정의'!$N$8)^2+(T189-'포지션 정의'!$O$8)^2+(U189-'포지션 정의'!$P$8)^2)/3)/'판정 기준'!$B$7),0)</f>
        <v>85</v>
      </c>
      <c r="AI189" s="24" t="n">
        <f aca="false">ROUND(100*(1-SQRT(((S189-'포지션 정의'!$N$9)^2+(T189-'포지션 정의'!$O$9)^2+(U189-'포지션 정의'!$P$9)^2)/3)/'판정 기준'!$B$7),0)</f>
        <v>75</v>
      </c>
      <c r="AJ189" s="23" t="str">
        <f aca="false">IF(G189&gt;='판정 기준'!$B$8,"경기긴장도, ","")&amp;IF(Q189&gt;='판정 기준'!$B$8,"사회적 도움 활용, ","")&amp;IF(K189&gt;='판정 기준'!$B$8,"경기 준비 능력, ","")&amp;IF(N189&gt;='판정 기준'!$B$8,"실수 후 회복력, ","")&amp;IF(P189&gt;='판정 기준'!$B$8,"자기 통제력, ","")</f>
        <v>사회적 도움 활용, 실수 후 회복력, </v>
      </c>
      <c r="AK189" s="23" t="n">
        <f aca="false">IF(AND(G189&lt;'판정 기준'!$B$8,OR(AJ189&lt;&gt;"",AP189&lt;&gt;"경기긴장도")),G189,0)</f>
        <v>4.4</v>
      </c>
      <c r="AL189" s="23" t="n">
        <f aca="false">IF(AND(Q189&lt;'판정 기준'!$B$8,OR(AJ189&lt;&gt;"",AP189&lt;&gt;"사회적 도움 활용")),Q189,0)</f>
        <v>0</v>
      </c>
      <c r="AM189" s="23" t="n">
        <f aca="false">IF(AND(K189&lt;'판정 기준'!$B$8,OR(AJ189&lt;&gt;"",AP189&lt;&gt;"경기 준비 능력")),K189,0)</f>
        <v>3.2</v>
      </c>
      <c r="AN189" s="23" t="n">
        <f aca="false">IF(AND(N189&lt;'판정 기준'!$B$8,OR(AJ189&lt;&gt;"",AP189&lt;&gt;"실수 후 회복력")),N189,0)</f>
        <v>0</v>
      </c>
      <c r="AO189" s="23" t="n">
        <f aca="false">IF(AND(P189&lt;'판정 기준'!$B$8,OR(AJ189&lt;&gt;"",AP189&lt;&gt;"자기 통제력")),P189,0)</f>
        <v>3.3</v>
      </c>
      <c r="AP189" s="23" t="str">
        <f aca="false">IF(Q189=MAX(G189,Q189,K189,N189,P189),"사회적 도움 활용",IF(P189=MAX(G189,Q189,K189,N189,P189),"자기 통제력",IF(G189=MAX(G189,Q189,K189,N189,P189),"경기긴장도",IF(K189=MAX(G189,Q189,K189,N189,P189),"경기 준비 능력","실수 후 회복력"))))</f>
        <v>실수 후 회복력</v>
      </c>
    </row>
    <row r="190" customFormat="false" ht="17.15" hidden="false" customHeight="false" outlineLevel="0" collapsed="false">
      <c r="A190" s="13" t="s">
        <v>409</v>
      </c>
      <c r="B190" s="13" t="s">
        <v>187</v>
      </c>
      <c r="C190" s="41" t="s">
        <v>405</v>
      </c>
      <c r="D190" s="14" t="n">
        <v>46134</v>
      </c>
      <c r="E190" s="41" t="s">
        <v>193</v>
      </c>
      <c r="F190" s="42" t="n">
        <v>4.2</v>
      </c>
      <c r="G190" s="42" t="n">
        <v>4.7</v>
      </c>
      <c r="H190" s="42" t="n">
        <v>4.2</v>
      </c>
      <c r="I190" s="42" t="n">
        <v>5.6</v>
      </c>
      <c r="J190" s="42" t="n">
        <v>4</v>
      </c>
      <c r="K190" s="42" t="n">
        <v>2.2</v>
      </c>
      <c r="L190" s="42" t="n">
        <v>2.8</v>
      </c>
      <c r="M190" s="42" t="n">
        <v>1.6</v>
      </c>
      <c r="N190" s="42" t="n">
        <v>5.4</v>
      </c>
      <c r="O190" s="42" t="n">
        <v>5.2</v>
      </c>
      <c r="P190" s="42" t="n">
        <v>4.2</v>
      </c>
      <c r="Q190" s="42" t="n">
        <v>5.8</v>
      </c>
      <c r="R190" s="42" t="n">
        <v>5.3</v>
      </c>
      <c r="S190" s="37" t="n">
        <f aca="false">AVERAGE(G190:J190)</f>
        <v>4.625</v>
      </c>
      <c r="T190" s="37" t="n">
        <f aca="false">AVERAGE(K190:M190)</f>
        <v>2.2</v>
      </c>
      <c r="U190" s="37" t="n">
        <f aca="false">AVERAGE(N190:O190)</f>
        <v>5.3</v>
      </c>
      <c r="V190" s="23" t="str">
        <f aca="false">IF(S190&gt;='판정 기준'!$B$3,"H","L")&amp;IF(T190&gt;='판정 기준'!$B$3,"H","L")&amp;IF(U190&gt;='판정 기준'!$B$3,"H","L")</f>
        <v>HLH</v>
      </c>
      <c r="W190" s="36" t="str">
        <f aca="false">INDEX('포지션 정의'!$A$2:$A$9,MATCH(V190,'포지션 정의'!$D$2:$D$9,0))</f>
        <v>D</v>
      </c>
      <c r="X190" s="36" t="str">
        <f aca="false">INDEX('포지션 정의'!$B$2:$B$9,MATCH(V190,'포지션 정의'!$D$2:$D$9,0))</f>
        <v>실전 승부사형</v>
      </c>
      <c r="Y190" s="43" t="str">
        <f aca="false">IF(AJ190="","가장 높은 지표: "&amp;AP190,LEFT(AJ190,LEN(AJ190)-2))</f>
        <v>사회적 도움 활용, 실수 후 회복력</v>
      </c>
      <c r="Z190" s="43" t="str">
        <f aca="false">IF(MAX(AK190:AO190)=0,"심화: "&amp;IF(N190=MIN(G190,Q190,K190,N190,P190),"실수 후 회복력",IF(K190=MIN(G190,Q190,K190,N190,P190),"경기 준비 능력",IF(G190=MIN(G190,Q190,K190,N190,P190),"경기긴장도",IF(P190=MIN(G190,Q190,K190,N190,P190),"자기 통제력","사회적 도움 활용")))),IF(MAX(AK190:AO190)&gt;='판정 기준'!$B$8-'판정 기준'!$B$4,IF(AN190=MAX(AK190:AO190),"실수 후 회복력",IF(AM190=MAX(AK190:AO190),"경기 준비 능력",IF(AK190=MAX(AK190:AO190),"경기긴장도",IF(AO190=MAX(AK190:AO190),"자기 통제력","사회적 도움 활용")))),IF(AN190&gt;0,"실수 후 회복력",IF(AM190&gt;0,"경기 준비 능력",IF(AK190&gt;0,"경기긴장도",IF(AO190&gt;0,"자기 통제력","사회적 도움 활용"))))))</f>
        <v>경기긴장도</v>
      </c>
      <c r="AA190" s="43" t="str">
        <f aca="false">INDEX('포지션 정의'!$L$2:$L$9,MATCH(V190,'포지션 정의'!$D$2:$D$9,0))</f>
        <v>즐라탄 이브라히모비치 · 호나우지뉴 · 디에고 마라도나</v>
      </c>
      <c r="AB190" s="24" t="n">
        <f aca="false">ROUND(100*(1-SQRT(((S190-'포지션 정의'!$N$2)^2+(T190-'포지션 정의'!$O$2)^2+(U190-'포지션 정의'!$P$2)^2)/3)/'판정 기준'!$B$7),0)</f>
        <v>60</v>
      </c>
      <c r="AC190" s="24" t="n">
        <f aca="false">ROUND(100*(1-SQRT(((S190-'포지션 정의'!$N$3)^2+(T190-'포지션 정의'!$O$3)^2+(U190-'포지션 정의'!$P$3)^2)/3)/'판정 기준'!$B$7),0)</f>
        <v>61</v>
      </c>
      <c r="AD190" s="24" t="n">
        <f aca="false">ROUND(100*(1-SQRT(((S190-'포지션 정의'!$N$4)^2+(T190-'포지션 정의'!$O$4)^2+(U190-'포지션 정의'!$P$4)^2)/3)/'판정 기준'!$B$7),0)</f>
        <v>74</v>
      </c>
      <c r="AE190" s="24" t="n">
        <f aca="false">ROUND(100*(1-SQRT(((S190-'포지션 정의'!$N$5)^2+(T190-'포지션 정의'!$O$5)^2+(U190-'포지션 정의'!$P$5)^2)/3)/'판정 기준'!$B$7),0)</f>
        <v>80</v>
      </c>
      <c r="AF190" s="24" t="n">
        <f aca="false">ROUND(100*(1-SQRT(((S190-'포지션 정의'!$N$6)^2+(T190-'포지션 정의'!$O$6)^2+(U190-'포지션 정의'!$P$6)^2)/3)/'판정 기준'!$B$7),0)</f>
        <v>79</v>
      </c>
      <c r="AG190" s="24" t="n">
        <f aca="false">ROUND(100*(1-SQRT(((S190-'포지션 정의'!$N$7)^2+(T190-'포지션 정의'!$O$7)^2+(U190-'포지션 정의'!$P$7)^2)/3)/'판정 기준'!$B$7),0)</f>
        <v>64</v>
      </c>
      <c r="AH190" s="24" t="n">
        <f aca="false">ROUND(100*(1-SQRT(((S190-'포지션 정의'!$N$8)^2+(T190-'포지션 정의'!$O$8)^2+(U190-'포지션 정의'!$P$8)^2)/3)/'판정 기준'!$B$7),0)</f>
        <v>73</v>
      </c>
      <c r="AI190" s="24" t="n">
        <f aca="false">ROUND(100*(1-SQRT(((S190-'포지션 정의'!$N$9)^2+(T190-'포지션 정의'!$O$9)^2+(U190-'포지션 정의'!$P$9)^2)/3)/'판정 기준'!$B$7),0)</f>
        <v>65</v>
      </c>
      <c r="AJ190" s="23" t="str">
        <f aca="false">IF(G190&gt;='판정 기준'!$B$8,"경기긴장도, ","")&amp;IF(Q190&gt;='판정 기준'!$B$8,"사회적 도움 활용, ","")&amp;IF(K190&gt;='판정 기준'!$B$8,"경기 준비 능력, ","")&amp;IF(N190&gt;='판정 기준'!$B$8,"실수 후 회복력, ","")&amp;IF(P190&gt;='판정 기준'!$B$8,"자기 통제력, ","")</f>
        <v>사회적 도움 활용, 실수 후 회복력, </v>
      </c>
      <c r="AK190" s="23" t="n">
        <f aca="false">IF(AND(G190&lt;'판정 기준'!$B$8,OR(AJ190&lt;&gt;"",AP190&lt;&gt;"경기긴장도")),G190,0)</f>
        <v>4.7</v>
      </c>
      <c r="AL190" s="23" t="n">
        <f aca="false">IF(AND(Q190&lt;'판정 기준'!$B$8,OR(AJ190&lt;&gt;"",AP190&lt;&gt;"사회적 도움 활용")),Q190,0)</f>
        <v>0</v>
      </c>
      <c r="AM190" s="23" t="n">
        <f aca="false">IF(AND(K190&lt;'판정 기준'!$B$8,OR(AJ190&lt;&gt;"",AP190&lt;&gt;"경기 준비 능력")),K190,0)</f>
        <v>2.2</v>
      </c>
      <c r="AN190" s="23" t="n">
        <f aca="false">IF(AND(N190&lt;'판정 기준'!$B$8,OR(AJ190&lt;&gt;"",AP190&lt;&gt;"실수 후 회복력")),N190,0)</f>
        <v>0</v>
      </c>
      <c r="AO190" s="23" t="n">
        <f aca="false">IF(AND(P190&lt;'판정 기준'!$B$8,OR(AJ190&lt;&gt;"",AP190&lt;&gt;"자기 통제력")),P190,0)</f>
        <v>4.2</v>
      </c>
      <c r="AP190" s="23" t="str">
        <f aca="false">IF(Q190=MAX(G190,Q190,K190,N190,P190),"사회적 도움 활용",IF(P190=MAX(G190,Q190,K190,N190,P190),"자기 통제력",IF(G190=MAX(G190,Q190,K190,N190,P190),"경기긴장도",IF(K190=MAX(G190,Q190,K190,N190,P190),"경기 준비 능력","실수 후 회복력"))))</f>
        <v>사회적 도움 활용</v>
      </c>
    </row>
    <row r="191" customFormat="false" ht="17.15" hidden="false" customHeight="false" outlineLevel="0" collapsed="false">
      <c r="A191" s="13" t="s">
        <v>410</v>
      </c>
      <c r="B191" s="13" t="s">
        <v>187</v>
      </c>
      <c r="C191" s="41" t="s">
        <v>405</v>
      </c>
      <c r="D191" s="14" t="n">
        <v>46134</v>
      </c>
      <c r="E191" s="41" t="s">
        <v>198</v>
      </c>
      <c r="F191" s="42" t="n">
        <v>4.2</v>
      </c>
      <c r="G191" s="42" t="n">
        <v>4.1</v>
      </c>
      <c r="H191" s="42" t="n">
        <v>4.2</v>
      </c>
      <c r="I191" s="42" t="n">
        <v>4.2</v>
      </c>
      <c r="J191" s="42" t="n">
        <v>3.8</v>
      </c>
      <c r="K191" s="42" t="n">
        <v>4.4</v>
      </c>
      <c r="L191" s="42" t="n">
        <v>4.3</v>
      </c>
      <c r="M191" s="42" t="n">
        <v>4.4</v>
      </c>
      <c r="N191" s="42" t="n">
        <v>3.7</v>
      </c>
      <c r="O191" s="42" t="n">
        <v>4</v>
      </c>
      <c r="P191" s="42" t="n">
        <v>4.7</v>
      </c>
      <c r="Q191" s="42" t="n">
        <v>5.6</v>
      </c>
      <c r="R191" s="42" t="n">
        <v>5.7</v>
      </c>
      <c r="S191" s="37" t="n">
        <f aca="false">AVERAGE(G191:J191)</f>
        <v>4.075</v>
      </c>
      <c r="T191" s="37" t="n">
        <f aca="false">AVERAGE(K191:M191)</f>
        <v>4.36666666666667</v>
      </c>
      <c r="U191" s="37" t="n">
        <f aca="false">AVERAGE(N191:O191)</f>
        <v>3.85</v>
      </c>
      <c r="V191" s="23" t="str">
        <f aca="false">IF(S191&gt;='판정 기준'!$B$3,"H","L")&amp;IF(T191&gt;='판정 기준'!$B$3,"H","L")&amp;IF(U191&gt;='판정 기준'!$B$3,"H","L")</f>
        <v>LLL</v>
      </c>
      <c r="W191" s="36" t="str">
        <f aca="false">INDEX('포지션 정의'!$A$2:$A$9,MATCH(V191,'포지션 정의'!$D$2:$D$9,0))</f>
        <v>G</v>
      </c>
      <c r="X191" s="36" t="str">
        <f aca="false">INDEX('포지션 정의'!$B$2:$B$9,MATCH(V191,'포지션 정의'!$D$2:$D$9,0))</f>
        <v>스펀지 흡수형</v>
      </c>
      <c r="Y191" s="43" t="str">
        <f aca="false">IF(AJ191="","가장 높은 지표: "&amp;AP191,LEFT(AJ191,LEN(AJ191)-2))</f>
        <v>사회적 도움 활용</v>
      </c>
      <c r="Z191" s="43" t="str">
        <f aca="false">IF(MAX(AK191:AO191)=0,"심화: "&amp;IF(N191=MIN(G191,Q191,K191,N191,P191),"실수 후 회복력",IF(K191=MIN(G191,Q191,K191,N191,P191),"경기 준비 능력",IF(G191=MIN(G191,Q191,K191,N191,P191),"경기긴장도",IF(P191=MIN(G191,Q191,K191,N191,P191),"자기 통제력","사회적 도움 활용")))),IF(MAX(AK191:AO191)&gt;='판정 기준'!$B$8-'판정 기준'!$B$4,IF(AN191=MAX(AK191:AO191),"실수 후 회복력",IF(AM191=MAX(AK191:AO191),"경기 준비 능력",IF(AK191=MAX(AK191:AO191),"경기긴장도",IF(AO191=MAX(AK191:AO191),"자기 통제력","사회적 도움 활용")))),IF(AN191&gt;0,"실수 후 회복력",IF(AM191&gt;0,"경기 준비 능력",IF(AK191&gt;0,"경기긴장도",IF(AO191&gt;0,"자기 통제력","사회적 도움 활용"))))))</f>
        <v>자기 통제력</v>
      </c>
      <c r="AA191" s="43" t="str">
        <f aca="false">INDEX('포지션 정의'!$L$2:$L$9,MATCH(V191,'포지션 정의'!$D$2:$D$9,0))</f>
        <v>디디에 드로그바 · 앙투안 그리즈만 · 모하메드 살라</v>
      </c>
      <c r="AB191" s="24" t="n">
        <f aca="false">ROUND(100*(1-SQRT(((S191-'포지션 정의'!$N$2)^2+(T191-'포지션 정의'!$O$2)^2+(U191-'포지션 정의'!$P$2)^2)/3)/'판정 기준'!$B$7),0)</f>
        <v>90</v>
      </c>
      <c r="AC191" s="24" t="n">
        <f aca="false">ROUND(100*(1-SQRT(((S191-'포지션 정의'!$N$3)^2+(T191-'포지션 정의'!$O$3)^2+(U191-'포지션 정의'!$P$3)^2)/3)/'판정 기준'!$B$7),0)</f>
        <v>84</v>
      </c>
      <c r="AD191" s="24" t="n">
        <f aca="false">ROUND(100*(1-SQRT(((S191-'포지션 정의'!$N$4)^2+(T191-'포지션 정의'!$O$4)^2+(U191-'포지션 정의'!$P$4)^2)/3)/'판정 기준'!$B$7),0)</f>
        <v>85</v>
      </c>
      <c r="AE191" s="24" t="n">
        <f aca="false">ROUND(100*(1-SQRT(((S191-'포지션 정의'!$N$5)^2+(T191-'포지션 정의'!$O$5)^2+(U191-'포지션 정의'!$P$5)^2)/3)/'판정 기준'!$B$7),0)</f>
        <v>79</v>
      </c>
      <c r="AF191" s="24" t="n">
        <f aca="false">ROUND(100*(1-SQRT(((S191-'포지션 정의'!$N$6)^2+(T191-'포지션 정의'!$O$6)^2+(U191-'포지션 정의'!$P$6)^2)/3)/'판정 기준'!$B$7),0)</f>
        <v>83</v>
      </c>
      <c r="AG191" s="24" t="n">
        <f aca="false">ROUND(100*(1-SQRT(((S191-'포지션 정의'!$N$7)^2+(T191-'포지션 정의'!$O$7)^2+(U191-'포지션 정의'!$P$7)^2)/3)/'판정 기준'!$B$7),0)</f>
        <v>81</v>
      </c>
      <c r="AH191" s="24" t="n">
        <f aca="false">ROUND(100*(1-SQRT(((S191-'포지션 정의'!$N$8)^2+(T191-'포지션 정의'!$O$8)^2+(U191-'포지션 정의'!$P$8)^2)/3)/'판정 기준'!$B$7),0)</f>
        <v>93</v>
      </c>
      <c r="AI191" s="24" t="n">
        <f aca="false">ROUND(100*(1-SQRT(((S191-'포지션 정의'!$N$9)^2+(T191-'포지션 정의'!$O$9)^2+(U191-'포지션 정의'!$P$9)^2)/3)/'판정 기준'!$B$7),0)</f>
        <v>78</v>
      </c>
      <c r="AJ191" s="23" t="str">
        <f aca="false">IF(G191&gt;='판정 기준'!$B$8,"경기긴장도, ","")&amp;IF(Q191&gt;='판정 기준'!$B$8,"사회적 도움 활용, ","")&amp;IF(K191&gt;='판정 기준'!$B$8,"경기 준비 능력, ","")&amp;IF(N191&gt;='판정 기준'!$B$8,"실수 후 회복력, ","")&amp;IF(P191&gt;='판정 기준'!$B$8,"자기 통제력, ","")</f>
        <v>사회적 도움 활용, </v>
      </c>
      <c r="AK191" s="23" t="n">
        <f aca="false">IF(AND(G191&lt;'판정 기준'!$B$8,OR(AJ191&lt;&gt;"",AP191&lt;&gt;"경기긴장도")),G191,0)</f>
        <v>4.1</v>
      </c>
      <c r="AL191" s="23" t="n">
        <f aca="false">IF(AND(Q191&lt;'판정 기준'!$B$8,OR(AJ191&lt;&gt;"",AP191&lt;&gt;"사회적 도움 활용")),Q191,0)</f>
        <v>0</v>
      </c>
      <c r="AM191" s="23" t="n">
        <f aca="false">IF(AND(K191&lt;'판정 기준'!$B$8,OR(AJ191&lt;&gt;"",AP191&lt;&gt;"경기 준비 능력")),K191,0)</f>
        <v>4.4</v>
      </c>
      <c r="AN191" s="23" t="n">
        <f aca="false">IF(AND(N191&lt;'판정 기준'!$B$8,OR(AJ191&lt;&gt;"",AP191&lt;&gt;"실수 후 회복력")),N191,0)</f>
        <v>3.7</v>
      </c>
      <c r="AO191" s="23" t="n">
        <f aca="false">IF(AND(P191&lt;'판정 기준'!$B$8,OR(AJ191&lt;&gt;"",AP191&lt;&gt;"자기 통제력")),P191,0)</f>
        <v>4.7</v>
      </c>
      <c r="AP191" s="23" t="str">
        <f aca="false">IF(Q191=MAX(G191,Q191,K191,N191,P191),"사회적 도움 활용",IF(P191=MAX(G191,Q191,K191,N191,P191),"자기 통제력",IF(G191=MAX(G191,Q191,K191,N191,P191),"경기긴장도",IF(K191=MAX(G191,Q191,K191,N191,P191),"경기 준비 능력","실수 후 회복력"))))</f>
        <v>사회적 도움 활용</v>
      </c>
    </row>
    <row r="192" customFormat="false" ht="17.15" hidden="false" customHeight="false" outlineLevel="0" collapsed="false">
      <c r="A192" s="13" t="s">
        <v>411</v>
      </c>
      <c r="B192" s="13" t="s">
        <v>187</v>
      </c>
      <c r="C192" s="41" t="s">
        <v>405</v>
      </c>
      <c r="D192" s="14" t="n">
        <v>46134</v>
      </c>
      <c r="E192" s="41" t="s">
        <v>198</v>
      </c>
      <c r="F192" s="42" t="n">
        <v>4.6</v>
      </c>
      <c r="G192" s="42" t="n">
        <v>4.4</v>
      </c>
      <c r="H192" s="42" t="n">
        <v>4</v>
      </c>
      <c r="I192" s="42" t="n">
        <v>6</v>
      </c>
      <c r="J192" s="42" t="n">
        <v>4.2</v>
      </c>
      <c r="K192" s="42" t="n">
        <v>5.5</v>
      </c>
      <c r="L192" s="42" t="n">
        <v>4.8</v>
      </c>
      <c r="M192" s="42" t="n">
        <v>6</v>
      </c>
      <c r="N192" s="42" t="n">
        <v>4.4</v>
      </c>
      <c r="O192" s="42" t="n">
        <v>3.7</v>
      </c>
      <c r="P192" s="42" t="n">
        <v>4.2</v>
      </c>
      <c r="Q192" s="42" t="n">
        <v>4.8</v>
      </c>
      <c r="R192" s="42" t="n">
        <v>5</v>
      </c>
      <c r="S192" s="37" t="n">
        <f aca="false">AVERAGE(G192:J192)</f>
        <v>4.65</v>
      </c>
      <c r="T192" s="37" t="n">
        <f aca="false">AVERAGE(K192:M192)</f>
        <v>5.43333333333333</v>
      </c>
      <c r="U192" s="37" t="n">
        <f aca="false">AVERAGE(N192:O192)</f>
        <v>4.05</v>
      </c>
      <c r="V192" s="23" t="str">
        <f aca="false">IF(S192&gt;='판정 기준'!$B$3,"H","L")&amp;IF(T192&gt;='판정 기준'!$B$3,"H","L")&amp;IF(U192&gt;='판정 기준'!$B$3,"H","L")</f>
        <v>HHL</v>
      </c>
      <c r="W192" s="36" t="str">
        <f aca="false">INDEX('포지션 정의'!$A$2:$A$9,MATCH(V192,'포지션 정의'!$D$2:$D$9,0))</f>
        <v>B</v>
      </c>
      <c r="X192" s="36" t="str">
        <f aca="false">INDEX('포지션 정의'!$B$2:$B$9,MATCH(V192,'포지션 정의'!$D$2:$D$9,0))</f>
        <v>책임감 설계자형</v>
      </c>
      <c r="Y192" s="43" t="str">
        <f aca="false">IF(AJ192="","가장 높은 지표: "&amp;AP192,LEFT(AJ192,LEN(AJ192)-2))</f>
        <v>사회적 도움 활용, 경기 준비 능력</v>
      </c>
      <c r="Z192" s="43" t="str">
        <f aca="false">IF(MAX(AK192:AO192)=0,"심화: "&amp;IF(N192=MIN(G192,Q192,K192,N192,P192),"실수 후 회복력",IF(K192=MIN(G192,Q192,K192,N192,P192),"경기 준비 능력",IF(G192=MIN(G192,Q192,K192,N192,P192),"경기긴장도",IF(P192=MIN(G192,Q192,K192,N192,P192),"자기 통제력","사회적 도움 활용")))),IF(MAX(AK192:AO192)&gt;='판정 기준'!$B$8-'판정 기준'!$B$4,IF(AN192=MAX(AK192:AO192),"실수 후 회복력",IF(AM192=MAX(AK192:AO192),"경기 준비 능력",IF(AK192=MAX(AK192:AO192),"경기긴장도",IF(AO192=MAX(AK192:AO192),"자기 통제력","사회적 도움 활용")))),IF(AN192&gt;0,"실수 후 회복력",IF(AM192&gt;0,"경기 준비 능력",IF(AK192&gt;0,"경기긴장도",IF(AO192&gt;0,"자기 통제력","사회적 도움 활용"))))))</f>
        <v>실수 후 회복력</v>
      </c>
      <c r="AA192" s="43" t="str">
        <f aca="false">INDEX('포지션 정의'!$L$2:$L$9,MATCH(V192,'포지션 정의'!$D$2:$D$9,0))</f>
        <v>해리 케인 · 토니 크로스 · 필립 람</v>
      </c>
      <c r="AB192" s="24" t="n">
        <f aca="false">ROUND(100*(1-SQRT(((S192-'포지션 정의'!$N$2)^2+(T192-'포지션 정의'!$O$2)^2+(U192-'포지션 정의'!$P$2)^2)/3)/'판정 기준'!$B$7),0)</f>
        <v>89</v>
      </c>
      <c r="AC192" s="24" t="n">
        <f aca="false">ROUND(100*(1-SQRT(((S192-'포지션 정의'!$N$3)^2+(T192-'포지션 정의'!$O$3)^2+(U192-'포지션 정의'!$P$3)^2)/3)/'판정 기준'!$B$7),0)</f>
        <v>93</v>
      </c>
      <c r="AD192" s="24" t="n">
        <f aca="false">ROUND(100*(1-SQRT(((S192-'포지션 정의'!$N$4)^2+(T192-'포지션 정의'!$O$4)^2+(U192-'포지션 정의'!$P$4)^2)/3)/'판정 기준'!$B$7),0)</f>
        <v>80</v>
      </c>
      <c r="AE192" s="24" t="n">
        <f aca="false">ROUND(100*(1-SQRT(((S192-'포지션 정의'!$N$5)^2+(T192-'포지션 정의'!$O$5)^2+(U192-'포지션 정의'!$P$5)^2)/3)/'판정 기준'!$B$7),0)</f>
        <v>76</v>
      </c>
      <c r="AF192" s="24" t="n">
        <f aca="false">ROUND(100*(1-SQRT(((S192-'포지션 정의'!$N$6)^2+(T192-'포지션 정의'!$O$6)^2+(U192-'포지션 정의'!$P$6)^2)/3)/'판정 기준'!$B$7),0)</f>
        <v>75</v>
      </c>
      <c r="AG192" s="24" t="n">
        <f aca="false">ROUND(100*(1-SQRT(((S192-'포지션 정의'!$N$7)^2+(T192-'포지션 정의'!$O$7)^2+(U192-'포지션 정의'!$P$7)^2)/3)/'판정 기준'!$B$7),0)</f>
        <v>83</v>
      </c>
      <c r="AH192" s="24" t="n">
        <f aca="false">ROUND(100*(1-SQRT(((S192-'포지션 정의'!$N$8)^2+(T192-'포지션 정의'!$O$8)^2+(U192-'포지션 정의'!$P$8)^2)/3)/'판정 기준'!$B$7),0)</f>
        <v>79</v>
      </c>
      <c r="AI192" s="24" t="n">
        <f aca="false">ROUND(100*(1-SQRT(((S192-'포지션 정의'!$N$9)^2+(T192-'포지션 정의'!$O$9)^2+(U192-'포지션 정의'!$P$9)^2)/3)/'판정 기준'!$B$7),0)</f>
        <v>85</v>
      </c>
      <c r="AJ192" s="23" t="str">
        <f aca="false">IF(G192&gt;='판정 기준'!$B$8,"경기긴장도, ","")&amp;IF(Q192&gt;='판정 기준'!$B$8,"사회적 도움 활용, ","")&amp;IF(K192&gt;='판정 기준'!$B$8,"경기 준비 능력, ","")&amp;IF(N192&gt;='판정 기준'!$B$8,"실수 후 회복력, ","")&amp;IF(P192&gt;='판정 기준'!$B$8,"자기 통제력, ","")</f>
        <v>사회적 도움 활용, 경기 준비 능력, </v>
      </c>
      <c r="AK192" s="23" t="n">
        <f aca="false">IF(AND(G192&lt;'판정 기준'!$B$8,OR(AJ192&lt;&gt;"",AP192&lt;&gt;"경기긴장도")),G192,0)</f>
        <v>4.4</v>
      </c>
      <c r="AL192" s="23" t="n">
        <f aca="false">IF(AND(Q192&lt;'판정 기준'!$B$8,OR(AJ192&lt;&gt;"",AP192&lt;&gt;"사회적 도움 활용")),Q192,0)</f>
        <v>0</v>
      </c>
      <c r="AM192" s="23" t="n">
        <f aca="false">IF(AND(K192&lt;'판정 기준'!$B$8,OR(AJ192&lt;&gt;"",AP192&lt;&gt;"경기 준비 능력")),K192,0)</f>
        <v>0</v>
      </c>
      <c r="AN192" s="23" t="n">
        <f aca="false">IF(AND(N192&lt;'판정 기준'!$B$8,OR(AJ192&lt;&gt;"",AP192&lt;&gt;"실수 후 회복력")),N192,0)</f>
        <v>4.4</v>
      </c>
      <c r="AO192" s="23" t="n">
        <f aca="false">IF(AND(P192&lt;'판정 기준'!$B$8,OR(AJ192&lt;&gt;"",AP192&lt;&gt;"자기 통제력")),P192,0)</f>
        <v>4.2</v>
      </c>
      <c r="AP192" s="23" t="str">
        <f aca="false">IF(Q192=MAX(G192,Q192,K192,N192,P192),"사회적 도움 활용",IF(P192=MAX(G192,Q192,K192,N192,P192),"자기 통제력",IF(G192=MAX(G192,Q192,K192,N192,P192),"경기긴장도",IF(K192=MAX(G192,Q192,K192,N192,P192),"경기 준비 능력","실수 후 회복력"))))</f>
        <v>경기 준비 능력</v>
      </c>
    </row>
    <row r="193" customFormat="false" ht="17.15" hidden="false" customHeight="false" outlineLevel="0" collapsed="false">
      <c r="A193" s="13" t="s">
        <v>412</v>
      </c>
      <c r="B193" s="13" t="s">
        <v>187</v>
      </c>
      <c r="C193" s="41" t="s">
        <v>405</v>
      </c>
      <c r="D193" s="14" t="n">
        <v>46134</v>
      </c>
      <c r="E193" s="41" t="s">
        <v>193</v>
      </c>
      <c r="F193" s="42" t="n">
        <v>3.7</v>
      </c>
      <c r="G193" s="42" t="n">
        <v>3.6</v>
      </c>
      <c r="H193" s="42" t="n">
        <v>3.5</v>
      </c>
      <c r="I193" s="42" t="n">
        <v>3.8</v>
      </c>
      <c r="J193" s="42" t="n">
        <v>3</v>
      </c>
      <c r="K193" s="42" t="n">
        <v>3.9</v>
      </c>
      <c r="L193" s="42" t="n">
        <v>4</v>
      </c>
      <c r="M193" s="42" t="n">
        <v>3.9</v>
      </c>
      <c r="N193" s="42" t="n">
        <v>3.1</v>
      </c>
      <c r="O193" s="42" t="n">
        <v>2.5</v>
      </c>
      <c r="P193" s="42" t="n">
        <v>4.3</v>
      </c>
      <c r="Q193" s="42" t="n">
        <v>4.2</v>
      </c>
      <c r="R193" s="42" t="n">
        <v>4</v>
      </c>
      <c r="S193" s="37" t="n">
        <f aca="false">AVERAGE(G193:J193)</f>
        <v>3.475</v>
      </c>
      <c r="T193" s="37" t="n">
        <f aca="false">AVERAGE(K193:M193)</f>
        <v>3.93333333333333</v>
      </c>
      <c r="U193" s="37" t="n">
        <f aca="false">AVERAGE(N193:O193)</f>
        <v>2.8</v>
      </c>
      <c r="V193" s="23" t="str">
        <f aca="false">IF(S193&gt;='판정 기준'!$B$3,"H","L")&amp;IF(T193&gt;='판정 기준'!$B$3,"H","L")&amp;IF(U193&gt;='판정 기준'!$B$3,"H","L")</f>
        <v>LLL</v>
      </c>
      <c r="W193" s="36" t="str">
        <f aca="false">INDEX('포지션 정의'!$A$2:$A$9,MATCH(V193,'포지션 정의'!$D$2:$D$9,0))</f>
        <v>G</v>
      </c>
      <c r="X193" s="36" t="str">
        <f aca="false">INDEX('포지션 정의'!$B$2:$B$9,MATCH(V193,'포지션 정의'!$D$2:$D$9,0))</f>
        <v>스펀지 흡수형</v>
      </c>
      <c r="Y193" s="43" t="str">
        <f aca="false">IF(AJ193="","가장 높은 지표: "&amp;AP193,LEFT(AJ193,LEN(AJ193)-2))</f>
        <v>가장 높은 지표: 자기 통제력</v>
      </c>
      <c r="Z193" s="43" t="str">
        <f aca="false">IF(MAX(AK193:AO193)=0,"심화: "&amp;IF(N193=MIN(G193,Q193,K193,N193,P193),"실수 후 회복력",IF(K193=MIN(G193,Q193,K193,N193,P193),"경기 준비 능력",IF(G193=MIN(G193,Q193,K193,N193,P193),"경기긴장도",IF(P193=MIN(G193,Q193,K193,N193,P193),"자기 통제력","사회적 도움 활용")))),IF(MAX(AK193:AO193)&gt;='판정 기준'!$B$8-'판정 기준'!$B$4,IF(AN193=MAX(AK193:AO193),"실수 후 회복력",IF(AM193=MAX(AK193:AO193),"경기 준비 능력",IF(AK193=MAX(AK193:AO193),"경기긴장도",IF(AO193=MAX(AK193:AO193),"자기 통제력","사회적 도움 활용")))),IF(AN193&gt;0,"실수 후 회복력",IF(AM193&gt;0,"경기 준비 능력",IF(AK193&gt;0,"경기긴장도",IF(AO193&gt;0,"자기 통제력","사회적 도움 활용"))))))</f>
        <v>실수 후 회복력</v>
      </c>
      <c r="AA193" s="43" t="str">
        <f aca="false">INDEX('포지션 정의'!$L$2:$L$9,MATCH(V193,'포지션 정의'!$D$2:$D$9,0))</f>
        <v>디디에 드로그바 · 앙투안 그리즈만 · 모하메드 살라</v>
      </c>
      <c r="AB193" s="24" t="n">
        <f aca="false">ROUND(100*(1-SQRT(((S193-'포지션 정의'!$N$2)^2+(T193-'포지션 정의'!$O$2)^2+(U193-'포지션 정의'!$P$2)^2)/3)/'판정 기준'!$B$7),0)</f>
        <v>81</v>
      </c>
      <c r="AC193" s="24" t="n">
        <f aca="false">ROUND(100*(1-SQRT(((S193-'포지션 정의'!$N$3)^2+(T193-'포지션 정의'!$O$3)^2+(U193-'포지션 정의'!$P$3)^2)/3)/'판정 기준'!$B$7),0)</f>
        <v>73</v>
      </c>
      <c r="AD193" s="24" t="n">
        <f aca="false">ROUND(100*(1-SQRT(((S193-'포지션 정의'!$N$4)^2+(T193-'포지션 정의'!$O$4)^2+(U193-'포지션 정의'!$P$4)^2)/3)/'판정 기준'!$B$7),0)</f>
        <v>77</v>
      </c>
      <c r="AE193" s="24" t="n">
        <f aca="false">ROUND(100*(1-SQRT(((S193-'포지션 정의'!$N$5)^2+(T193-'포지션 정의'!$O$5)^2+(U193-'포지션 정의'!$P$5)^2)/3)/'판정 기준'!$B$7),0)</f>
        <v>66</v>
      </c>
      <c r="AF193" s="24" t="n">
        <f aca="false">ROUND(100*(1-SQRT(((S193-'포지션 정의'!$N$6)^2+(T193-'포지션 정의'!$O$6)^2+(U193-'포지션 정의'!$P$6)^2)/3)/'판정 기준'!$B$7),0)</f>
        <v>72</v>
      </c>
      <c r="AG193" s="24" t="n">
        <f aca="false">ROUND(100*(1-SQRT(((S193-'포지션 정의'!$N$7)^2+(T193-'포지션 정의'!$O$7)^2+(U193-'포지션 정의'!$P$7)^2)/3)/'판정 기준'!$B$7),0)</f>
        <v>68</v>
      </c>
      <c r="AH193" s="24" t="n">
        <f aca="false">ROUND(100*(1-SQRT(((S193-'포지션 정의'!$N$8)^2+(T193-'포지션 정의'!$O$8)^2+(U193-'포지션 정의'!$P$8)^2)/3)/'판정 기준'!$B$7),0)</f>
        <v>88</v>
      </c>
      <c r="AI193" s="24" t="n">
        <f aca="false">ROUND(100*(1-SQRT(((S193-'포지션 정의'!$N$9)^2+(T193-'포지션 정의'!$O$9)^2+(U193-'포지션 정의'!$P$9)^2)/3)/'판정 기준'!$B$7),0)</f>
        <v>63</v>
      </c>
      <c r="AJ193" s="23" t="str">
        <f aca="false">IF(G193&gt;='판정 기준'!$B$8,"경기긴장도, ","")&amp;IF(Q193&gt;='판정 기준'!$B$8,"사회적 도움 활용, ","")&amp;IF(K193&gt;='판정 기준'!$B$8,"경기 준비 능력, ","")&amp;IF(N193&gt;='판정 기준'!$B$8,"실수 후 회복력, ","")&amp;IF(P193&gt;='판정 기준'!$B$8,"자기 통제력, ","")</f>
        <v/>
      </c>
      <c r="AK193" s="23" t="n">
        <f aca="false">IF(AND(G193&lt;'판정 기준'!$B$8,OR(AJ193&lt;&gt;"",AP193&lt;&gt;"경기긴장도")),G193,0)</f>
        <v>3.6</v>
      </c>
      <c r="AL193" s="23" t="n">
        <f aca="false">IF(AND(Q193&lt;'판정 기준'!$B$8,OR(AJ193&lt;&gt;"",AP193&lt;&gt;"사회적 도움 활용")),Q193,0)</f>
        <v>4.2</v>
      </c>
      <c r="AM193" s="23" t="n">
        <f aca="false">IF(AND(K193&lt;'판정 기준'!$B$8,OR(AJ193&lt;&gt;"",AP193&lt;&gt;"경기 준비 능력")),K193,0)</f>
        <v>3.9</v>
      </c>
      <c r="AN193" s="23" t="n">
        <f aca="false">IF(AND(N193&lt;'판정 기준'!$B$8,OR(AJ193&lt;&gt;"",AP193&lt;&gt;"실수 후 회복력")),N193,0)</f>
        <v>3.1</v>
      </c>
      <c r="AO193" s="23" t="n">
        <f aca="false">IF(AND(P193&lt;'판정 기준'!$B$8,OR(AJ193&lt;&gt;"",AP193&lt;&gt;"자기 통제력")),P193,0)</f>
        <v>0</v>
      </c>
      <c r="AP193" s="23" t="str">
        <f aca="false">IF(Q193=MAX(G193,Q193,K193,N193,P193),"사회적 도움 활용",IF(P193=MAX(G193,Q193,K193,N193,P193),"자기 통제력",IF(G193=MAX(G193,Q193,K193,N193,P193),"경기긴장도",IF(K193=MAX(G193,Q193,K193,N193,P193),"경기 준비 능력","실수 후 회복력"))))</f>
        <v>자기 통제력</v>
      </c>
    </row>
    <row r="194" customFormat="false" ht="17.15" hidden="false" customHeight="false" outlineLevel="0" collapsed="false">
      <c r="A194" s="13" t="s">
        <v>413</v>
      </c>
      <c r="B194" s="13" t="s">
        <v>187</v>
      </c>
      <c r="C194" s="13" t="s">
        <v>335</v>
      </c>
      <c r="D194" s="14" t="n">
        <v>46132</v>
      </c>
      <c r="E194" s="41" t="s">
        <v>195</v>
      </c>
      <c r="F194" s="42" t="n">
        <v>5.5</v>
      </c>
      <c r="G194" s="42" t="n">
        <v>4.9</v>
      </c>
      <c r="H194" s="42" t="n">
        <v>4.8</v>
      </c>
      <c r="I194" s="42" t="n">
        <v>5.4</v>
      </c>
      <c r="J194" s="42" t="n">
        <v>4.7</v>
      </c>
      <c r="K194" s="42" t="n">
        <v>5.9</v>
      </c>
      <c r="L194" s="42" t="n">
        <v>5.8</v>
      </c>
      <c r="M194" s="42" t="n">
        <v>6</v>
      </c>
      <c r="N194" s="42" t="n">
        <v>5.4</v>
      </c>
      <c r="O194" s="42" t="n">
        <v>5.5</v>
      </c>
      <c r="P194" s="42" t="n">
        <v>5.7</v>
      </c>
      <c r="Q194" s="42" t="n">
        <v>5.8</v>
      </c>
      <c r="R194" s="42" t="n">
        <v>6</v>
      </c>
      <c r="S194" s="37" t="n">
        <f aca="false">AVERAGE(G194:J194)</f>
        <v>4.95</v>
      </c>
      <c r="T194" s="37" t="n">
        <f aca="false">AVERAGE(K194:M194)</f>
        <v>5.9</v>
      </c>
      <c r="U194" s="37" t="n">
        <f aca="false">AVERAGE(N194:O194)</f>
        <v>5.45</v>
      </c>
      <c r="V194" s="23" t="str">
        <f aca="false">IF(S194&gt;='판정 기준'!$B$3,"H","L")&amp;IF(T194&gt;='판정 기준'!$B$3,"H","L")&amp;IF(U194&gt;='판정 기준'!$B$3,"H","L")</f>
        <v>HHH</v>
      </c>
      <c r="W194" s="36" t="str">
        <f aca="false">INDEX('포지션 정의'!$A$2:$A$9,MATCH(V194,'포지션 정의'!$D$2:$D$9,0))</f>
        <v>H</v>
      </c>
      <c r="X194" s="36" t="str">
        <f aca="false">INDEX('포지션 정의'!$B$2:$B$9,MATCH(V194,'포지션 정의'!$D$2:$D$9,0))</f>
        <v>올라운드 밸런스형</v>
      </c>
      <c r="Y194" s="43" t="str">
        <f aca="false">IF(AJ194="","가장 높은 지표: "&amp;AP194,LEFT(AJ194,LEN(AJ194)-2))</f>
        <v>경기긴장도, 사회적 도움 활용, 경기 준비 능력, 실수 후 회복력, 자기 통제력</v>
      </c>
      <c r="Z194" s="43" t="str">
        <f aca="false">IF(MAX(AK194:AO194)=0,"심화: "&amp;IF(N194=MIN(G194,Q194,K194,N194,P194),"실수 후 회복력",IF(K194=MIN(G194,Q194,K194,N194,P194),"경기 준비 능력",IF(G194=MIN(G194,Q194,K194,N194,P194),"경기긴장도",IF(P194=MIN(G194,Q194,K194,N194,P194),"자기 통제력","사회적 도움 활용")))),IF(MAX(AK194:AO194)&gt;='판정 기준'!$B$8-'판정 기준'!$B$4,IF(AN194=MAX(AK194:AO194),"실수 후 회복력",IF(AM194=MAX(AK194:AO194),"경기 준비 능력",IF(AK194=MAX(AK194:AO194),"경기긴장도",IF(AO194=MAX(AK194:AO194),"자기 통제력","사회적 도움 활용")))),IF(AN194&gt;0,"실수 후 회복력",IF(AM194&gt;0,"경기 준비 능력",IF(AK194&gt;0,"경기긴장도",IF(AO194&gt;0,"자기 통제력","사회적 도움 활용"))))))</f>
        <v>심화: 경기긴장도</v>
      </c>
      <c r="AA194" s="43" t="str">
        <f aca="false">INDEX('포지션 정의'!$L$2:$L$9,MATCH(V194,'포지션 정의'!$D$2:$D$9,0))</f>
        <v>크리스티아누 호날두 · 루카 모드리치 · 버질 반 다이크</v>
      </c>
      <c r="AB194" s="24" t="n">
        <f aca="false">ROUND(100*(1-SQRT(((S194-'포지션 정의'!$N$2)^2+(T194-'포지션 정의'!$O$2)^2+(U194-'포지션 정의'!$P$2)^2)/3)/'판정 기준'!$B$7),0)</f>
        <v>75</v>
      </c>
      <c r="AC194" s="24" t="n">
        <f aca="false">ROUND(100*(1-SQRT(((S194-'포지션 정의'!$N$3)^2+(T194-'포지션 정의'!$O$3)^2+(U194-'포지션 정의'!$P$3)^2)/3)/'판정 기준'!$B$7),0)</f>
        <v>79</v>
      </c>
      <c r="AD194" s="24" t="n">
        <f aca="false">ROUND(100*(1-SQRT(((S194-'포지션 정의'!$N$4)^2+(T194-'포지션 정의'!$O$4)^2+(U194-'포지션 정의'!$P$4)^2)/3)/'판정 기준'!$B$7),0)</f>
        <v>69</v>
      </c>
      <c r="AE194" s="24" t="n">
        <f aca="false">ROUND(100*(1-SQRT(((S194-'포지션 정의'!$N$5)^2+(T194-'포지션 정의'!$O$5)^2+(U194-'포지션 정의'!$P$5)^2)/3)/'판정 기준'!$B$7),0)</f>
        <v>75</v>
      </c>
      <c r="AF194" s="24" t="n">
        <f aca="false">ROUND(100*(1-SQRT(((S194-'포지션 정의'!$N$6)^2+(T194-'포지션 정의'!$O$6)^2+(U194-'포지션 정의'!$P$6)^2)/3)/'판정 기준'!$B$7),0)</f>
        <v>72</v>
      </c>
      <c r="AG194" s="24" t="n">
        <f aca="false">ROUND(100*(1-SQRT(((S194-'포지션 정의'!$N$7)^2+(T194-'포지션 정의'!$O$7)^2+(U194-'포지션 정의'!$P$7)^2)/3)/'판정 기준'!$B$7),0)</f>
        <v>84</v>
      </c>
      <c r="AH194" s="24" t="n">
        <f aca="false">ROUND(100*(1-SQRT(((S194-'포지션 정의'!$N$8)^2+(T194-'포지션 정의'!$O$8)^2+(U194-'포지션 정의'!$P$8)^2)/3)/'판정 기준'!$B$7),0)</f>
        <v>66</v>
      </c>
      <c r="AI194" s="24" t="n">
        <f aca="false">ROUND(100*(1-SQRT(((S194-'포지션 정의'!$N$9)^2+(T194-'포지션 정의'!$O$9)^2+(U194-'포지션 정의'!$P$9)^2)/3)/'판정 기준'!$B$7),0)</f>
        <v>91</v>
      </c>
      <c r="AJ194" s="23" t="str">
        <f aca="false">IF(G194&gt;='판정 기준'!$B$8,"경기긴장도, ","")&amp;IF(Q194&gt;='판정 기준'!$B$8,"사회적 도움 활용, ","")&amp;IF(K194&gt;='판정 기준'!$B$8,"경기 준비 능력, ","")&amp;IF(N194&gt;='판정 기준'!$B$8,"실수 후 회복력, ","")&amp;IF(P194&gt;='판정 기준'!$B$8,"자기 통제력, ","")</f>
        <v>경기긴장도, 사회적 도움 활용, 경기 준비 능력, 실수 후 회복력, 자기 통제력, </v>
      </c>
      <c r="AK194" s="23" t="n">
        <f aca="false">IF(AND(G194&lt;'판정 기준'!$B$8,OR(AJ194&lt;&gt;"",AP194&lt;&gt;"경기긴장도")),G194,0)</f>
        <v>0</v>
      </c>
      <c r="AL194" s="23" t="n">
        <f aca="false">IF(AND(Q194&lt;'판정 기준'!$B$8,OR(AJ194&lt;&gt;"",AP194&lt;&gt;"사회적 도움 활용")),Q194,0)</f>
        <v>0</v>
      </c>
      <c r="AM194" s="23" t="n">
        <f aca="false">IF(AND(K194&lt;'판정 기준'!$B$8,OR(AJ194&lt;&gt;"",AP194&lt;&gt;"경기 준비 능력")),K194,0)</f>
        <v>0</v>
      </c>
      <c r="AN194" s="23" t="n">
        <f aca="false">IF(AND(N194&lt;'판정 기준'!$B$8,OR(AJ194&lt;&gt;"",AP194&lt;&gt;"실수 후 회복력")),N194,0)</f>
        <v>0</v>
      </c>
      <c r="AO194" s="23" t="n">
        <f aca="false">IF(AND(P194&lt;'판정 기준'!$B$8,OR(AJ194&lt;&gt;"",AP194&lt;&gt;"자기 통제력")),P194,0)</f>
        <v>0</v>
      </c>
      <c r="AP194" s="23" t="str">
        <f aca="false">IF(Q194=MAX(G194,Q194,K194,N194,P194),"사회적 도움 활용",IF(P194=MAX(G194,Q194,K194,N194,P194),"자기 통제력",IF(G194=MAX(G194,Q194,K194,N194,P194),"경기긴장도",IF(K194=MAX(G194,Q194,K194,N194,P194),"경기 준비 능력","실수 후 회복력"))))</f>
        <v>경기 준비 능력</v>
      </c>
    </row>
    <row r="195" customFormat="false" ht="17.15" hidden="false" customHeight="false" outlineLevel="0" collapsed="false">
      <c r="A195" s="13" t="s">
        <v>414</v>
      </c>
      <c r="B195" s="13" t="s">
        <v>187</v>
      </c>
      <c r="C195" s="13" t="s">
        <v>188</v>
      </c>
      <c r="D195" s="14" t="n">
        <v>46130</v>
      </c>
      <c r="E195" s="41" t="s">
        <v>193</v>
      </c>
      <c r="F195" s="42" t="n">
        <v>5.2</v>
      </c>
      <c r="G195" s="42" t="n">
        <v>5.4</v>
      </c>
      <c r="H195" s="42" t="n">
        <v>4.7</v>
      </c>
      <c r="I195" s="42" t="n">
        <v>6</v>
      </c>
      <c r="J195" s="42" t="n">
        <v>5.2</v>
      </c>
      <c r="K195" s="42" t="n">
        <v>4.1</v>
      </c>
      <c r="L195" s="42" t="n">
        <v>4</v>
      </c>
      <c r="M195" s="42" t="n">
        <v>4.1</v>
      </c>
      <c r="N195" s="42" t="n">
        <v>6</v>
      </c>
      <c r="O195" s="42" t="n">
        <v>6</v>
      </c>
      <c r="P195" s="42" t="n">
        <v>5.2</v>
      </c>
      <c r="Q195" s="42" t="n">
        <v>6</v>
      </c>
      <c r="R195" s="42" t="n">
        <v>6</v>
      </c>
      <c r="S195" s="37" t="n">
        <f aca="false">AVERAGE(G195:J195)</f>
        <v>5.325</v>
      </c>
      <c r="T195" s="37" t="n">
        <f aca="false">AVERAGE(K195:M195)</f>
        <v>4.06666666666667</v>
      </c>
      <c r="U195" s="37" t="n">
        <f aca="false">AVERAGE(N195:O195)</f>
        <v>6</v>
      </c>
      <c r="V195" s="23" t="str">
        <f aca="false">IF(S195&gt;='판정 기준'!$B$3,"H","L")&amp;IF(T195&gt;='판정 기준'!$B$3,"H","L")&amp;IF(U195&gt;='판정 기준'!$B$3,"H","L")</f>
        <v>HLH</v>
      </c>
      <c r="W195" s="36" t="str">
        <f aca="false">INDEX('포지션 정의'!$A$2:$A$9,MATCH(V195,'포지션 정의'!$D$2:$D$9,0))</f>
        <v>D</v>
      </c>
      <c r="X195" s="36" t="str">
        <f aca="false">INDEX('포지션 정의'!$B$2:$B$9,MATCH(V195,'포지션 정의'!$D$2:$D$9,0))</f>
        <v>실전 승부사형</v>
      </c>
      <c r="Y195" s="43" t="str">
        <f aca="false">IF(AJ195="","가장 높은 지표: "&amp;AP195,LEFT(AJ195,LEN(AJ195)-2))</f>
        <v>경기긴장도, 사회적 도움 활용, 실수 후 회복력, 자기 통제력</v>
      </c>
      <c r="Z195" s="43" t="str">
        <f aca="false">IF(MAX(AK195:AO195)=0,"심화: "&amp;IF(N195=MIN(G195,Q195,K195,N195,P195),"실수 후 회복력",IF(K195=MIN(G195,Q195,K195,N195,P195),"경기 준비 능력",IF(G195=MIN(G195,Q195,K195,N195,P195),"경기긴장도",IF(P195=MIN(G195,Q195,K195,N195,P195),"자기 통제력","사회적 도움 활용")))),IF(MAX(AK195:AO195)&gt;='판정 기준'!$B$8-'판정 기준'!$B$4,IF(AN195=MAX(AK195:AO195),"실수 후 회복력",IF(AM195=MAX(AK195:AO195),"경기 준비 능력",IF(AK195=MAX(AK195:AO195),"경기긴장도",IF(AO195=MAX(AK195:AO195),"자기 통제력","사회적 도움 활용")))),IF(AN195&gt;0,"실수 후 회복력",IF(AM195&gt;0,"경기 준비 능력",IF(AK195&gt;0,"경기긴장도",IF(AO195&gt;0,"자기 통제력","사회적 도움 활용"))))))</f>
        <v>경기 준비 능력</v>
      </c>
      <c r="AA195" s="43" t="str">
        <f aca="false">INDEX('포지션 정의'!$L$2:$L$9,MATCH(V195,'포지션 정의'!$D$2:$D$9,0))</f>
        <v>즐라탄 이브라히모비치 · 호나우지뉴 · 디에고 마라도나</v>
      </c>
      <c r="AB195" s="24" t="n">
        <f aca="false">ROUND(100*(1-SQRT(((S195-'포지션 정의'!$N$2)^2+(T195-'포지션 정의'!$O$2)^2+(U195-'포지션 정의'!$P$2)^2)/3)/'판정 기준'!$B$7),0)</f>
        <v>66</v>
      </c>
      <c r="AC195" s="24" t="n">
        <f aca="false">ROUND(100*(1-SQRT(((S195-'포지션 정의'!$N$3)^2+(T195-'포지션 정의'!$O$3)^2+(U195-'포지션 정의'!$P$3)^2)/3)/'판정 기준'!$B$7),0)</f>
        <v>71</v>
      </c>
      <c r="AD195" s="24" t="n">
        <f aca="false">ROUND(100*(1-SQRT(((S195-'포지션 정의'!$N$4)^2+(T195-'포지션 정의'!$O$4)^2+(U195-'포지션 정의'!$P$4)^2)/3)/'판정 기준'!$B$7),0)</f>
        <v>74</v>
      </c>
      <c r="AE195" s="24" t="n">
        <f aca="false">ROUND(100*(1-SQRT(((S195-'포지션 정의'!$N$5)^2+(T195-'포지션 정의'!$O$5)^2+(U195-'포지션 정의'!$P$5)^2)/3)/'판정 기준'!$B$7),0)</f>
        <v>90</v>
      </c>
      <c r="AF195" s="24" t="n">
        <f aca="false">ROUND(100*(1-SQRT(((S195-'포지션 정의'!$N$6)^2+(T195-'포지션 정의'!$O$6)^2+(U195-'포지션 정의'!$P$6)^2)/3)/'판정 기준'!$B$7),0)</f>
        <v>80</v>
      </c>
      <c r="AG195" s="24" t="n">
        <f aca="false">ROUND(100*(1-SQRT(((S195-'포지션 정의'!$N$7)^2+(T195-'포지션 정의'!$O$7)^2+(U195-'포지션 정의'!$P$7)^2)/3)/'판정 기준'!$B$7),0)</f>
        <v>76</v>
      </c>
      <c r="AH195" s="24" t="n">
        <f aca="false">ROUND(100*(1-SQRT(((S195-'포지션 정의'!$N$8)^2+(T195-'포지션 정의'!$O$8)^2+(U195-'포지션 정의'!$P$8)^2)/3)/'판정 기준'!$B$7),0)</f>
        <v>69</v>
      </c>
      <c r="AI195" s="24" t="n">
        <f aca="false">ROUND(100*(1-SQRT(((S195-'포지션 정의'!$N$9)^2+(T195-'포지션 정의'!$O$9)^2+(U195-'포지션 정의'!$P$9)^2)/3)/'판정 기준'!$B$7),0)</f>
        <v>84</v>
      </c>
      <c r="AJ195" s="23" t="str">
        <f aca="false">IF(G195&gt;='판정 기준'!$B$8,"경기긴장도, ","")&amp;IF(Q195&gt;='판정 기준'!$B$8,"사회적 도움 활용, ","")&amp;IF(K195&gt;='판정 기준'!$B$8,"경기 준비 능력, ","")&amp;IF(N195&gt;='판정 기준'!$B$8,"실수 후 회복력, ","")&amp;IF(P195&gt;='판정 기준'!$B$8,"자기 통제력, ","")</f>
        <v>경기긴장도, 사회적 도움 활용, 실수 후 회복력, 자기 통제력, </v>
      </c>
      <c r="AK195" s="23" t="n">
        <f aca="false">IF(AND(G195&lt;'판정 기준'!$B$8,OR(AJ195&lt;&gt;"",AP195&lt;&gt;"경기긴장도")),G195,0)</f>
        <v>0</v>
      </c>
      <c r="AL195" s="23" t="n">
        <f aca="false">IF(AND(Q195&lt;'판정 기준'!$B$8,OR(AJ195&lt;&gt;"",AP195&lt;&gt;"사회적 도움 활용")),Q195,0)</f>
        <v>0</v>
      </c>
      <c r="AM195" s="23" t="n">
        <f aca="false">IF(AND(K195&lt;'판정 기준'!$B$8,OR(AJ195&lt;&gt;"",AP195&lt;&gt;"경기 준비 능력")),K195,0)</f>
        <v>4.1</v>
      </c>
      <c r="AN195" s="23" t="n">
        <f aca="false">IF(AND(N195&lt;'판정 기준'!$B$8,OR(AJ195&lt;&gt;"",AP195&lt;&gt;"실수 후 회복력")),N195,0)</f>
        <v>0</v>
      </c>
      <c r="AO195" s="23" t="n">
        <f aca="false">IF(AND(P195&lt;'판정 기준'!$B$8,OR(AJ195&lt;&gt;"",AP195&lt;&gt;"자기 통제력")),P195,0)</f>
        <v>0</v>
      </c>
      <c r="AP195" s="23" t="str">
        <f aca="false">IF(Q195=MAX(G195,Q195,K195,N195,P195),"사회적 도움 활용",IF(P195=MAX(G195,Q195,K195,N195,P195),"자기 통제력",IF(G195=MAX(G195,Q195,K195,N195,P195),"경기긴장도",IF(K195=MAX(G195,Q195,K195,N195,P195),"경기 준비 능력","실수 후 회복력"))))</f>
        <v>사회적 도움 활용</v>
      </c>
    </row>
    <row r="196" customFormat="false" ht="17.15" hidden="false" customHeight="false" outlineLevel="0" collapsed="false">
      <c r="A196" s="13" t="s">
        <v>415</v>
      </c>
      <c r="B196" s="13" t="s">
        <v>187</v>
      </c>
      <c r="C196" s="13" t="s">
        <v>188</v>
      </c>
      <c r="D196" s="14" t="n">
        <v>46263</v>
      </c>
      <c r="E196" s="41" t="s">
        <v>193</v>
      </c>
      <c r="F196" s="42" t="n">
        <v>3.9</v>
      </c>
      <c r="G196" s="42" t="n">
        <v>3.1</v>
      </c>
      <c r="H196" s="42" t="n">
        <v>3</v>
      </c>
      <c r="I196" s="42" t="n">
        <v>4</v>
      </c>
      <c r="J196" s="42" t="n">
        <v>2.7</v>
      </c>
      <c r="K196" s="42" t="n">
        <v>3.9</v>
      </c>
      <c r="L196" s="42" t="n">
        <v>4.2</v>
      </c>
      <c r="M196" s="42" t="n">
        <v>3.7</v>
      </c>
      <c r="N196" s="42" t="n">
        <v>3.9</v>
      </c>
      <c r="O196" s="42" t="n">
        <v>3.2</v>
      </c>
      <c r="P196" s="42" t="n">
        <v>4.7</v>
      </c>
      <c r="Q196" s="42" t="n">
        <v>5.4</v>
      </c>
      <c r="R196" s="42" t="n">
        <v>4.3</v>
      </c>
      <c r="S196" s="37" t="n">
        <f aca="false">AVERAGE(G196:J196)</f>
        <v>3.2</v>
      </c>
      <c r="T196" s="37" t="n">
        <f aca="false">AVERAGE(K196:M196)</f>
        <v>3.93333333333333</v>
      </c>
      <c r="U196" s="37" t="n">
        <f aca="false">AVERAGE(N196:O196)</f>
        <v>3.55</v>
      </c>
      <c r="V196" s="23" t="str">
        <f aca="false">IF(S196&gt;='판정 기준'!$B$3,"H","L")&amp;IF(T196&gt;='판정 기준'!$B$3,"H","L")&amp;IF(U196&gt;='판정 기준'!$B$3,"H","L")</f>
        <v>LLL</v>
      </c>
      <c r="W196" s="36" t="str">
        <f aca="false">INDEX('포지션 정의'!$A$2:$A$9,MATCH(V196,'포지션 정의'!$D$2:$D$9,0))</f>
        <v>G</v>
      </c>
      <c r="X196" s="36" t="str">
        <f aca="false">INDEX('포지션 정의'!$B$2:$B$9,MATCH(V196,'포지션 정의'!$D$2:$D$9,0))</f>
        <v>스펀지 흡수형</v>
      </c>
      <c r="Y196" s="43" t="str">
        <f aca="false">IF(AJ196="","가장 높은 지표: "&amp;AP196,LEFT(AJ196,LEN(AJ196)-2))</f>
        <v>사회적 도움 활용</v>
      </c>
      <c r="Z196" s="43" t="str">
        <f aca="false">IF(MAX(AK196:AO196)=0,"심화: "&amp;IF(N196=MIN(G196,Q196,K196,N196,P196),"실수 후 회복력",IF(K196=MIN(G196,Q196,K196,N196,P196),"경기 준비 능력",IF(G196=MIN(G196,Q196,K196,N196,P196),"경기긴장도",IF(P196=MIN(G196,Q196,K196,N196,P196),"자기 통제력","사회적 도움 활용")))),IF(MAX(AK196:AO196)&gt;='판정 기준'!$B$8-'판정 기준'!$B$4,IF(AN196=MAX(AK196:AO196),"실수 후 회복력",IF(AM196=MAX(AK196:AO196),"경기 준비 능력",IF(AK196=MAX(AK196:AO196),"경기긴장도",IF(AO196=MAX(AK196:AO196),"자기 통제력","사회적 도움 활용")))),IF(AN196&gt;0,"실수 후 회복력",IF(AM196&gt;0,"경기 준비 능력",IF(AK196&gt;0,"경기긴장도",IF(AO196&gt;0,"자기 통제력","사회적 도움 활용"))))))</f>
        <v>자기 통제력</v>
      </c>
      <c r="AA196" s="43" t="str">
        <f aca="false">INDEX('포지션 정의'!$L$2:$L$9,MATCH(V196,'포지션 정의'!$D$2:$D$9,0))</f>
        <v>디디에 드로그바 · 앙투안 그리즈만 · 모하메드 살라</v>
      </c>
      <c r="AB196" s="24" t="n">
        <f aca="false">ROUND(100*(1-SQRT(((S196-'포지션 정의'!$N$2)^2+(T196-'포지션 정의'!$O$2)^2+(U196-'포지션 정의'!$P$2)^2)/3)/'판정 기준'!$B$7),0)</f>
        <v>84</v>
      </c>
      <c r="AC196" s="24" t="n">
        <f aca="false">ROUND(100*(1-SQRT(((S196-'포지션 정의'!$N$3)^2+(T196-'포지션 정의'!$O$3)^2+(U196-'포지션 정의'!$P$3)^2)/3)/'판정 기준'!$B$7),0)</f>
        <v>73</v>
      </c>
      <c r="AD196" s="24" t="n">
        <f aca="false">ROUND(100*(1-SQRT(((S196-'포지션 정의'!$N$4)^2+(T196-'포지션 정의'!$O$4)^2+(U196-'포지션 정의'!$P$4)^2)/3)/'판정 기준'!$B$7),0)</f>
        <v>77</v>
      </c>
      <c r="AE196" s="24" t="n">
        <f aca="false">ROUND(100*(1-SQRT(((S196-'포지션 정의'!$N$5)^2+(T196-'포지션 정의'!$O$5)^2+(U196-'포지션 정의'!$P$5)^2)/3)/'판정 기준'!$B$7),0)</f>
        <v>70</v>
      </c>
      <c r="AF196" s="24" t="n">
        <f aca="false">ROUND(100*(1-SQRT(((S196-'포지션 정의'!$N$6)^2+(T196-'포지션 정의'!$O$6)^2+(U196-'포지션 정의'!$P$6)^2)/3)/'판정 기준'!$B$7),0)</f>
        <v>80</v>
      </c>
      <c r="AG196" s="24" t="n">
        <f aca="false">ROUND(100*(1-SQRT(((S196-'포지션 정의'!$N$7)^2+(T196-'포지션 정의'!$O$7)^2+(U196-'포지션 정의'!$P$7)^2)/3)/'판정 기준'!$B$7),0)</f>
        <v>75</v>
      </c>
      <c r="AH196" s="24" t="n">
        <f aca="false">ROUND(100*(1-SQRT(((S196-'포지션 정의'!$N$8)^2+(T196-'포지션 정의'!$O$8)^2+(U196-'포지션 정의'!$P$8)^2)/3)/'판정 기준'!$B$7),0)</f>
        <v>92</v>
      </c>
      <c r="AI196" s="24" t="n">
        <f aca="false">ROUND(100*(1-SQRT(((S196-'포지션 정의'!$N$9)^2+(T196-'포지션 정의'!$O$9)^2+(U196-'포지션 정의'!$P$9)^2)/3)/'판정 기준'!$B$7),0)</f>
        <v>67</v>
      </c>
      <c r="AJ196" s="23" t="str">
        <f aca="false">IF(G196&gt;='판정 기준'!$B$8,"경기긴장도, ","")&amp;IF(Q196&gt;='판정 기준'!$B$8,"사회적 도움 활용, ","")&amp;IF(K196&gt;='판정 기준'!$B$8,"경기 준비 능력, ","")&amp;IF(N196&gt;='판정 기준'!$B$8,"실수 후 회복력, ","")&amp;IF(P196&gt;='판정 기준'!$B$8,"자기 통제력, ","")</f>
        <v>사회적 도움 활용, </v>
      </c>
      <c r="AK196" s="23" t="n">
        <f aca="false">IF(AND(G196&lt;'판정 기준'!$B$8,OR(AJ196&lt;&gt;"",AP196&lt;&gt;"경기긴장도")),G196,0)</f>
        <v>3.1</v>
      </c>
      <c r="AL196" s="23" t="n">
        <f aca="false">IF(AND(Q196&lt;'판정 기준'!$B$8,OR(AJ196&lt;&gt;"",AP196&lt;&gt;"사회적 도움 활용")),Q196,0)</f>
        <v>0</v>
      </c>
      <c r="AM196" s="23" t="n">
        <f aca="false">IF(AND(K196&lt;'판정 기준'!$B$8,OR(AJ196&lt;&gt;"",AP196&lt;&gt;"경기 준비 능력")),K196,0)</f>
        <v>3.9</v>
      </c>
      <c r="AN196" s="23" t="n">
        <f aca="false">IF(AND(N196&lt;'판정 기준'!$B$8,OR(AJ196&lt;&gt;"",AP196&lt;&gt;"실수 후 회복력")),N196,0)</f>
        <v>3.9</v>
      </c>
      <c r="AO196" s="23" t="n">
        <f aca="false">IF(AND(P196&lt;'판정 기준'!$B$8,OR(AJ196&lt;&gt;"",AP196&lt;&gt;"자기 통제력")),P196,0)</f>
        <v>4.7</v>
      </c>
      <c r="AP196" s="23" t="str">
        <f aca="false">IF(Q196=MAX(G196,Q196,K196,N196,P196),"사회적 도움 활용",IF(P196=MAX(G196,Q196,K196,N196,P196),"자기 통제력",IF(G196=MAX(G196,Q196,K196,N196,P196),"경기긴장도",IF(K196=MAX(G196,Q196,K196,N196,P196),"경기 준비 능력","실수 후 회복력"))))</f>
        <v>사회적 도움 활용</v>
      </c>
    </row>
    <row r="197" customFormat="false" ht="17.15" hidden="false" customHeight="false" outlineLevel="0" collapsed="false">
      <c r="A197" s="13" t="s">
        <v>416</v>
      </c>
      <c r="B197" s="13" t="s">
        <v>187</v>
      </c>
      <c r="C197" s="13" t="s">
        <v>188</v>
      </c>
      <c r="D197" s="14" t="n">
        <v>46128</v>
      </c>
      <c r="E197" s="41" t="s">
        <v>193</v>
      </c>
      <c r="F197" s="42" t="n">
        <v>3.8</v>
      </c>
      <c r="G197" s="42" t="n">
        <v>3.3</v>
      </c>
      <c r="H197" s="42" t="n">
        <v>2.8</v>
      </c>
      <c r="I197" s="42" t="n">
        <v>4.8</v>
      </c>
      <c r="J197" s="42" t="n">
        <v>2.7</v>
      </c>
      <c r="K197" s="42" t="n">
        <v>5.6</v>
      </c>
      <c r="L197" s="42" t="n">
        <v>5.3</v>
      </c>
      <c r="M197" s="42" t="n">
        <v>5.9</v>
      </c>
      <c r="N197" s="42" t="n">
        <v>2.1</v>
      </c>
      <c r="O197" s="42" t="n">
        <v>2.5</v>
      </c>
      <c r="P197" s="42" t="n">
        <v>4.8</v>
      </c>
      <c r="Q197" s="42" t="n">
        <v>4.4</v>
      </c>
      <c r="R197" s="42" t="n">
        <v>6</v>
      </c>
      <c r="S197" s="37" t="n">
        <f aca="false">AVERAGE(G197:J197)</f>
        <v>3.4</v>
      </c>
      <c r="T197" s="37" t="n">
        <f aca="false">AVERAGE(K197:M197)</f>
        <v>5.6</v>
      </c>
      <c r="U197" s="37" t="n">
        <f aca="false">AVERAGE(N197:O197)</f>
        <v>2.3</v>
      </c>
      <c r="V197" s="23" t="str">
        <f aca="false">IF(S197&gt;='판정 기준'!$B$3,"H","L")&amp;IF(T197&gt;='판정 기준'!$B$3,"H","L")&amp;IF(U197&gt;='판정 기준'!$B$3,"H","L")</f>
        <v>LHL</v>
      </c>
      <c r="W197" s="36" t="str">
        <f aca="false">INDEX('포지션 정의'!$A$2:$A$9,MATCH(V197,'포지션 정의'!$D$2:$D$9,0))</f>
        <v>A</v>
      </c>
      <c r="X197" s="36" t="str">
        <f aca="false">INDEX('포지션 정의'!$B$2:$B$9,MATCH(V197,'포지션 정의'!$D$2:$D$9,0))</f>
        <v>섬세한 준비형</v>
      </c>
      <c r="Y197" s="43" t="str">
        <f aca="false">IF(AJ197="","가장 높은 지표: "&amp;AP197,LEFT(AJ197,LEN(AJ197)-2))</f>
        <v>경기 준비 능력, 자기 통제력</v>
      </c>
      <c r="Z197" s="43" t="str">
        <f aca="false">IF(MAX(AK197:AO197)=0,"심화: "&amp;IF(N197=MIN(G197,Q197,K197,N197,P197),"실수 후 회복력",IF(K197=MIN(G197,Q197,K197,N197,P197),"경기 준비 능력",IF(G197=MIN(G197,Q197,K197,N197,P197),"경기긴장도",IF(P197=MIN(G197,Q197,K197,N197,P197),"자기 통제력","사회적 도움 활용")))),IF(MAX(AK197:AO197)&gt;='판정 기준'!$B$8-'판정 기준'!$B$4,IF(AN197=MAX(AK197:AO197),"실수 후 회복력",IF(AM197=MAX(AK197:AO197),"경기 준비 능력",IF(AK197=MAX(AK197:AO197),"경기긴장도",IF(AO197=MAX(AK197:AO197),"자기 통제력","사회적 도움 활용")))),IF(AN197&gt;0,"실수 후 회복력",IF(AM197&gt;0,"경기 준비 능력",IF(AK197&gt;0,"경기긴장도",IF(AO197&gt;0,"자기 통제력","사회적 도움 활용"))))))</f>
        <v>실수 후 회복력</v>
      </c>
      <c r="AA197" s="43" t="str">
        <f aca="false">INDEX('포지션 정의'!$L$2:$L$9,MATCH(V197,'포지션 정의'!$D$2:$D$9,0))</f>
        <v>로베르트 레반도프스키 · 제임스 밀너 · 마르틴 외데고르</v>
      </c>
      <c r="AB197" s="24" t="n">
        <f aca="false">ROUND(100*(1-SQRT(((S197-'포지션 정의'!$N$2)^2+(T197-'포지션 정의'!$O$2)^2+(U197-'포지션 정의'!$P$2)^2)/3)/'판정 기준'!$B$7),0)</f>
        <v>81</v>
      </c>
      <c r="AC197" s="24" t="n">
        <f aca="false">ROUND(100*(1-SQRT(((S197-'포지션 정의'!$N$3)^2+(T197-'포지션 정의'!$O$3)^2+(U197-'포지션 정의'!$P$3)^2)/3)/'판정 기준'!$B$7),0)</f>
        <v>73</v>
      </c>
      <c r="AD197" s="24" t="n">
        <f aca="false">ROUND(100*(1-SQRT(((S197-'포지션 정의'!$N$4)^2+(T197-'포지션 정의'!$O$4)^2+(U197-'포지션 정의'!$P$4)^2)/3)/'판정 기준'!$B$7),0)</f>
        <v>66</v>
      </c>
      <c r="AE197" s="24" t="n">
        <f aca="false">ROUND(100*(1-SQRT(((S197-'포지션 정의'!$N$5)^2+(T197-'포지션 정의'!$O$5)^2+(U197-'포지션 정의'!$P$5)^2)/3)/'판정 기준'!$B$7),0)</f>
        <v>55</v>
      </c>
      <c r="AF197" s="24" t="n">
        <f aca="false">ROUND(100*(1-SQRT(((S197-'포지션 정의'!$N$6)^2+(T197-'포지션 정의'!$O$6)^2+(U197-'포지션 정의'!$P$6)^2)/3)/'판정 기준'!$B$7),0)</f>
        <v>60</v>
      </c>
      <c r="AG197" s="24" t="n">
        <f aca="false">ROUND(100*(1-SQRT(((S197-'포지션 정의'!$N$7)^2+(T197-'포지션 정의'!$O$7)^2+(U197-'포지션 정의'!$P$7)^2)/3)/'판정 기준'!$B$7),0)</f>
        <v>66</v>
      </c>
      <c r="AH197" s="24" t="n">
        <f aca="false">ROUND(100*(1-SQRT(((S197-'포지션 정의'!$N$8)^2+(T197-'포지션 정의'!$O$8)^2+(U197-'포지션 정의'!$P$8)^2)/3)/'판정 기준'!$B$7),0)</f>
        <v>73</v>
      </c>
      <c r="AI197" s="24" t="n">
        <f aca="false">ROUND(100*(1-SQRT(((S197-'포지션 정의'!$N$9)^2+(T197-'포지션 정의'!$O$9)^2+(U197-'포지션 정의'!$P$9)^2)/3)/'판정 기준'!$B$7),0)</f>
        <v>60</v>
      </c>
      <c r="AJ197" s="23" t="str">
        <f aca="false">IF(G197&gt;='판정 기준'!$B$8,"경기긴장도, ","")&amp;IF(Q197&gt;='판정 기준'!$B$8,"사회적 도움 활용, ","")&amp;IF(K197&gt;='판정 기준'!$B$8,"경기 준비 능력, ","")&amp;IF(N197&gt;='판정 기준'!$B$8,"실수 후 회복력, ","")&amp;IF(P197&gt;='판정 기준'!$B$8,"자기 통제력, ","")</f>
        <v>경기 준비 능력, 자기 통제력, </v>
      </c>
      <c r="AK197" s="23" t="n">
        <f aca="false">IF(AND(G197&lt;'판정 기준'!$B$8,OR(AJ197&lt;&gt;"",AP197&lt;&gt;"경기긴장도")),G197,0)</f>
        <v>3.3</v>
      </c>
      <c r="AL197" s="23" t="n">
        <f aca="false">IF(AND(Q197&lt;'판정 기준'!$B$8,OR(AJ197&lt;&gt;"",AP197&lt;&gt;"사회적 도움 활용")),Q197,0)</f>
        <v>4.4</v>
      </c>
      <c r="AM197" s="23" t="n">
        <f aca="false">IF(AND(K197&lt;'판정 기준'!$B$8,OR(AJ197&lt;&gt;"",AP197&lt;&gt;"경기 준비 능력")),K197,0)</f>
        <v>0</v>
      </c>
      <c r="AN197" s="23" t="n">
        <f aca="false">IF(AND(N197&lt;'판정 기준'!$B$8,OR(AJ197&lt;&gt;"",AP197&lt;&gt;"실수 후 회복력")),N197,0)</f>
        <v>2.1</v>
      </c>
      <c r="AO197" s="23" t="n">
        <f aca="false">IF(AND(P197&lt;'판정 기준'!$B$8,OR(AJ197&lt;&gt;"",AP197&lt;&gt;"자기 통제력")),P197,0)</f>
        <v>0</v>
      </c>
      <c r="AP197" s="23" t="str">
        <f aca="false">IF(Q197=MAX(G197,Q197,K197,N197,P197),"사회적 도움 활용",IF(P197=MAX(G197,Q197,K197,N197,P197),"자기 통제력",IF(G197=MAX(G197,Q197,K197,N197,P197),"경기긴장도",IF(K197=MAX(G197,Q197,K197,N197,P197),"경기 준비 능력","실수 후 회복력"))))</f>
        <v>경기 준비 능력</v>
      </c>
    </row>
    <row r="198" customFormat="false" ht="17.15" hidden="false" customHeight="false" outlineLevel="0" collapsed="false">
      <c r="A198" s="13" t="s">
        <v>417</v>
      </c>
      <c r="B198" s="13" t="s">
        <v>187</v>
      </c>
      <c r="C198" s="13" t="s">
        <v>188</v>
      </c>
      <c r="D198" s="14" t="n">
        <v>46262</v>
      </c>
      <c r="E198" s="41" t="s">
        <v>193</v>
      </c>
      <c r="F198" s="42" t="n">
        <v>5</v>
      </c>
      <c r="G198" s="42" t="n">
        <v>5.7</v>
      </c>
      <c r="H198" s="42" t="n">
        <v>5.8</v>
      </c>
      <c r="I198" s="42" t="n">
        <v>6</v>
      </c>
      <c r="J198" s="42" t="n">
        <v>5.8</v>
      </c>
      <c r="K198" s="42" t="n">
        <v>4.4</v>
      </c>
      <c r="L198" s="42" t="n">
        <v>4.5</v>
      </c>
      <c r="M198" s="42" t="n">
        <v>4.3</v>
      </c>
      <c r="N198" s="42" t="n">
        <v>5.4</v>
      </c>
      <c r="O198" s="42" t="n">
        <v>5.3</v>
      </c>
      <c r="P198" s="42" t="n">
        <v>4.5</v>
      </c>
      <c r="Q198" s="42" t="n">
        <v>5.6</v>
      </c>
      <c r="R198" s="42" t="n">
        <v>6</v>
      </c>
      <c r="S198" s="37" t="n">
        <f aca="false">AVERAGE(G198:J198)</f>
        <v>5.825</v>
      </c>
      <c r="T198" s="37" t="n">
        <f aca="false">AVERAGE(K198:M198)</f>
        <v>4.4</v>
      </c>
      <c r="U198" s="37" t="n">
        <f aca="false">AVERAGE(N198:O198)</f>
        <v>5.35</v>
      </c>
      <c r="V198" s="23" t="str">
        <f aca="false">IF(S198&gt;='판정 기준'!$B$3,"H","L")&amp;IF(T198&gt;='판정 기준'!$B$3,"H","L")&amp;IF(U198&gt;='판정 기준'!$B$3,"H","L")</f>
        <v>HLH</v>
      </c>
      <c r="W198" s="36" t="str">
        <f aca="false">INDEX('포지션 정의'!$A$2:$A$9,MATCH(V198,'포지션 정의'!$D$2:$D$9,0))</f>
        <v>D</v>
      </c>
      <c r="X198" s="36" t="str">
        <f aca="false">INDEX('포지션 정의'!$B$2:$B$9,MATCH(V198,'포지션 정의'!$D$2:$D$9,0))</f>
        <v>실전 승부사형</v>
      </c>
      <c r="Y198" s="43" t="str">
        <f aca="false">IF(AJ198="","가장 높은 지표: "&amp;AP198,LEFT(AJ198,LEN(AJ198)-2))</f>
        <v>경기긴장도, 사회적 도움 활용, 실수 후 회복력</v>
      </c>
      <c r="Z198" s="43" t="str">
        <f aca="false">IF(MAX(AK198:AO198)=0,"심화: "&amp;IF(N198=MIN(G198,Q198,K198,N198,P198),"실수 후 회복력",IF(K198=MIN(G198,Q198,K198,N198,P198),"경기 준비 능력",IF(G198=MIN(G198,Q198,K198,N198,P198),"경기긴장도",IF(P198=MIN(G198,Q198,K198,N198,P198),"자기 통제력","사회적 도움 활용")))),IF(MAX(AK198:AO198)&gt;='판정 기준'!$B$8-'판정 기준'!$B$4,IF(AN198=MAX(AK198:AO198),"실수 후 회복력",IF(AM198=MAX(AK198:AO198),"경기 준비 능력",IF(AK198=MAX(AK198:AO198),"경기긴장도",IF(AO198=MAX(AK198:AO198),"자기 통제력","사회적 도움 활용")))),IF(AN198&gt;0,"실수 후 회복력",IF(AM198&gt;0,"경기 준비 능력",IF(AK198&gt;0,"경기긴장도",IF(AO198&gt;0,"자기 통제력","사회적 도움 활용"))))))</f>
        <v>자기 통제력</v>
      </c>
      <c r="AA198" s="43" t="str">
        <f aca="false">INDEX('포지션 정의'!$L$2:$L$9,MATCH(V198,'포지션 정의'!$D$2:$D$9,0))</f>
        <v>즐라탄 이브라히모비치 · 호나우지뉴 · 디에고 마라도나</v>
      </c>
      <c r="AB198" s="24" t="n">
        <f aca="false">ROUND(100*(1-SQRT(((S198-'포지션 정의'!$N$2)^2+(T198-'포지션 정의'!$O$2)^2+(U198-'포지션 정의'!$P$2)^2)/3)/'판정 기준'!$B$7),0)</f>
        <v>69</v>
      </c>
      <c r="AC198" s="24" t="n">
        <f aca="false">ROUND(100*(1-SQRT(((S198-'포지션 정의'!$N$3)^2+(T198-'포지션 정의'!$O$3)^2+(U198-'포지션 정의'!$P$3)^2)/3)/'판정 기준'!$B$7),0)</f>
        <v>79</v>
      </c>
      <c r="AD198" s="24" t="n">
        <f aca="false">ROUND(100*(1-SQRT(((S198-'포지션 정의'!$N$4)^2+(T198-'포지션 정의'!$O$4)^2+(U198-'포지션 정의'!$P$4)^2)/3)/'판정 기준'!$B$7),0)</f>
        <v>79</v>
      </c>
      <c r="AE198" s="24" t="n">
        <f aca="false">ROUND(100*(1-SQRT(((S198-'포지션 정의'!$N$5)^2+(T198-'포지션 정의'!$O$5)^2+(U198-'포지션 정의'!$P$5)^2)/3)/'판정 기준'!$B$7),0)</f>
        <v>90</v>
      </c>
      <c r="AF198" s="24" t="n">
        <f aca="false">ROUND(100*(1-SQRT(((S198-'포지션 정의'!$N$6)^2+(T198-'포지션 정의'!$O$6)^2+(U198-'포지션 정의'!$P$6)^2)/3)/'판정 기준'!$B$7),0)</f>
        <v>76</v>
      </c>
      <c r="AG198" s="24" t="n">
        <f aca="false">ROUND(100*(1-SQRT(((S198-'포지션 정의'!$N$7)^2+(T198-'포지션 정의'!$O$7)^2+(U198-'포지션 정의'!$P$7)^2)/3)/'판정 기준'!$B$7),0)</f>
        <v>75</v>
      </c>
      <c r="AH198" s="24" t="n">
        <f aca="false">ROUND(100*(1-SQRT(((S198-'포지션 정의'!$N$8)^2+(T198-'포지션 정의'!$O$8)^2+(U198-'포지션 정의'!$P$8)^2)/3)/'판정 기준'!$B$7),0)</f>
        <v>70</v>
      </c>
      <c r="AI198" s="24" t="n">
        <f aca="false">ROUND(100*(1-SQRT(((S198-'포지션 정의'!$N$9)^2+(T198-'포지션 정의'!$O$9)^2+(U198-'포지션 정의'!$P$9)^2)/3)/'판정 기준'!$B$7),0)</f>
        <v>88</v>
      </c>
      <c r="AJ198" s="23" t="str">
        <f aca="false">IF(G198&gt;='판정 기준'!$B$8,"경기긴장도, ","")&amp;IF(Q198&gt;='판정 기준'!$B$8,"사회적 도움 활용, ","")&amp;IF(K198&gt;='판정 기준'!$B$8,"경기 준비 능력, ","")&amp;IF(N198&gt;='판정 기준'!$B$8,"실수 후 회복력, ","")&amp;IF(P198&gt;='판정 기준'!$B$8,"자기 통제력, ","")</f>
        <v>경기긴장도, 사회적 도움 활용, 실수 후 회복력, </v>
      </c>
      <c r="AK198" s="23" t="n">
        <f aca="false">IF(AND(G198&lt;'판정 기준'!$B$8,OR(AJ198&lt;&gt;"",AP198&lt;&gt;"경기긴장도")),G198,0)</f>
        <v>0</v>
      </c>
      <c r="AL198" s="23" t="n">
        <f aca="false">IF(AND(Q198&lt;'판정 기준'!$B$8,OR(AJ198&lt;&gt;"",AP198&lt;&gt;"사회적 도움 활용")),Q198,0)</f>
        <v>0</v>
      </c>
      <c r="AM198" s="23" t="n">
        <f aca="false">IF(AND(K198&lt;'판정 기준'!$B$8,OR(AJ198&lt;&gt;"",AP198&lt;&gt;"경기 준비 능력")),K198,0)</f>
        <v>4.4</v>
      </c>
      <c r="AN198" s="23" t="n">
        <f aca="false">IF(AND(N198&lt;'판정 기준'!$B$8,OR(AJ198&lt;&gt;"",AP198&lt;&gt;"실수 후 회복력")),N198,0)</f>
        <v>0</v>
      </c>
      <c r="AO198" s="23" t="n">
        <f aca="false">IF(AND(P198&lt;'판정 기준'!$B$8,OR(AJ198&lt;&gt;"",AP198&lt;&gt;"자기 통제력")),P198,0)</f>
        <v>4.5</v>
      </c>
      <c r="AP198" s="23" t="str">
        <f aca="false">IF(Q198=MAX(G198,Q198,K198,N198,P198),"사회적 도움 활용",IF(P198=MAX(G198,Q198,K198,N198,P198),"자기 통제력",IF(G198=MAX(G198,Q198,K198,N198,P198),"경기긴장도",IF(K198=MAX(G198,Q198,K198,N198,P198),"경기 준비 능력","실수 후 회복력"))))</f>
        <v>경기긴장도</v>
      </c>
    </row>
    <row r="199" customFormat="false" ht="17.15" hidden="false" customHeight="false" outlineLevel="0" collapsed="false">
      <c r="A199" s="13" t="s">
        <v>418</v>
      </c>
      <c r="B199" s="13" t="s">
        <v>187</v>
      </c>
      <c r="C199" s="13" t="s">
        <v>188</v>
      </c>
      <c r="D199" s="14" t="n">
        <v>46128</v>
      </c>
      <c r="E199" s="41" t="s">
        <v>195</v>
      </c>
      <c r="F199" s="42" t="n">
        <v>4.4</v>
      </c>
      <c r="G199" s="42" t="n">
        <v>3.4</v>
      </c>
      <c r="H199" s="42" t="n">
        <v>4</v>
      </c>
      <c r="I199" s="42" t="n">
        <v>3.6</v>
      </c>
      <c r="J199" s="42" t="n">
        <v>3.3</v>
      </c>
      <c r="K199" s="42" t="n">
        <v>5.7</v>
      </c>
      <c r="L199" s="42" t="n">
        <v>5.7</v>
      </c>
      <c r="M199" s="42" t="n">
        <v>5.7</v>
      </c>
      <c r="N199" s="42" t="n">
        <v>3.7</v>
      </c>
      <c r="O199" s="42" t="n">
        <v>3.8</v>
      </c>
      <c r="P199" s="42" t="n">
        <v>5.2</v>
      </c>
      <c r="Q199" s="42" t="n">
        <v>4.8</v>
      </c>
      <c r="R199" s="42" t="n">
        <v>6</v>
      </c>
      <c r="S199" s="37" t="n">
        <f aca="false">AVERAGE(G199:J199)</f>
        <v>3.575</v>
      </c>
      <c r="T199" s="37" t="n">
        <f aca="false">AVERAGE(K199:M199)</f>
        <v>5.7</v>
      </c>
      <c r="U199" s="37" t="n">
        <f aca="false">AVERAGE(N199:O199)</f>
        <v>3.75</v>
      </c>
      <c r="V199" s="23" t="str">
        <f aca="false">IF(S199&gt;='판정 기준'!$B$3,"H","L")&amp;IF(T199&gt;='판정 기준'!$B$3,"H","L")&amp;IF(U199&gt;='판정 기준'!$B$3,"H","L")</f>
        <v>LHL</v>
      </c>
      <c r="W199" s="36" t="str">
        <f aca="false">INDEX('포지션 정의'!$A$2:$A$9,MATCH(V199,'포지션 정의'!$D$2:$D$9,0))</f>
        <v>A</v>
      </c>
      <c r="X199" s="36" t="str">
        <f aca="false">INDEX('포지션 정의'!$B$2:$B$9,MATCH(V199,'포지션 정의'!$D$2:$D$9,0))</f>
        <v>섬세한 준비형</v>
      </c>
      <c r="Y199" s="43" t="str">
        <f aca="false">IF(AJ199="","가장 높은 지표: "&amp;AP199,LEFT(AJ199,LEN(AJ199)-2))</f>
        <v>사회적 도움 활용, 경기 준비 능력, 자기 통제력</v>
      </c>
      <c r="Z199" s="43" t="str">
        <f aca="false">IF(MAX(AK199:AO199)=0,"심화: "&amp;IF(N199=MIN(G199,Q199,K199,N199,P199),"실수 후 회복력",IF(K199=MIN(G199,Q199,K199,N199,P199),"경기 준비 능력",IF(G199=MIN(G199,Q199,K199,N199,P199),"경기긴장도",IF(P199=MIN(G199,Q199,K199,N199,P199),"자기 통제력","사회적 도움 활용")))),IF(MAX(AK199:AO199)&gt;='판정 기준'!$B$8-'판정 기준'!$B$4,IF(AN199=MAX(AK199:AO199),"실수 후 회복력",IF(AM199=MAX(AK199:AO199),"경기 준비 능력",IF(AK199=MAX(AK199:AO199),"경기긴장도",IF(AO199=MAX(AK199:AO199),"자기 통제력","사회적 도움 활용")))),IF(AN199&gt;0,"실수 후 회복력",IF(AM199&gt;0,"경기 준비 능력",IF(AK199&gt;0,"경기긴장도",IF(AO199&gt;0,"자기 통제력","사회적 도움 활용"))))))</f>
        <v>실수 후 회복력</v>
      </c>
      <c r="AA199" s="43" t="str">
        <f aca="false">INDEX('포지션 정의'!$L$2:$L$9,MATCH(V199,'포지션 정의'!$D$2:$D$9,0))</f>
        <v>로베르트 레반도프스키 · 제임스 밀너 · 마르틴 외데고르</v>
      </c>
      <c r="AB199" s="24" t="n">
        <f aca="false">ROUND(100*(1-SQRT(((S199-'포지션 정의'!$N$2)^2+(T199-'포지션 정의'!$O$2)^2+(U199-'포지션 정의'!$P$2)^2)/3)/'판정 기준'!$B$7),0)</f>
        <v>94</v>
      </c>
      <c r="AC199" s="24" t="n">
        <f aca="false">ROUND(100*(1-SQRT(((S199-'포지션 정의'!$N$3)^2+(T199-'포지션 정의'!$O$3)^2+(U199-'포지션 정의'!$P$3)^2)/3)/'판정 기준'!$B$7),0)</f>
        <v>80</v>
      </c>
      <c r="AD199" s="24" t="n">
        <f aca="false">ROUND(100*(1-SQRT(((S199-'포지션 정의'!$N$4)^2+(T199-'포지션 정의'!$O$4)^2+(U199-'포지션 정의'!$P$4)^2)/3)/'판정 기준'!$B$7),0)</f>
        <v>71</v>
      </c>
      <c r="AE199" s="24" t="n">
        <f aca="false">ROUND(100*(1-SQRT(((S199-'포지션 정의'!$N$5)^2+(T199-'포지션 정의'!$O$5)^2+(U199-'포지션 정의'!$P$5)^2)/3)/'판정 기준'!$B$7),0)</f>
        <v>67</v>
      </c>
      <c r="AF199" s="24" t="n">
        <f aca="false">ROUND(100*(1-SQRT(((S199-'포지션 정의'!$N$6)^2+(T199-'포지션 정의'!$O$6)^2+(U199-'포지션 정의'!$P$6)^2)/3)/'판정 기준'!$B$7),0)</f>
        <v>72</v>
      </c>
      <c r="AG199" s="24" t="n">
        <f aca="false">ROUND(100*(1-SQRT(((S199-'포지션 정의'!$N$7)^2+(T199-'포지션 정의'!$O$7)^2+(U199-'포지션 정의'!$P$7)^2)/3)/'판정 기준'!$B$7),0)</f>
        <v>82</v>
      </c>
      <c r="AH199" s="24" t="n">
        <f aca="false">ROUND(100*(1-SQRT(((S199-'포지션 정의'!$N$8)^2+(T199-'포지션 정의'!$O$8)^2+(U199-'포지션 정의'!$P$8)^2)/3)/'판정 기준'!$B$7),0)</f>
        <v>78</v>
      </c>
      <c r="AI199" s="24" t="n">
        <f aca="false">ROUND(100*(1-SQRT(((S199-'포지션 정의'!$N$9)^2+(T199-'포지션 정의'!$O$9)^2+(U199-'포지션 정의'!$P$9)^2)/3)/'판정 기준'!$B$7),0)</f>
        <v>74</v>
      </c>
      <c r="AJ199" s="23" t="str">
        <f aca="false">IF(G199&gt;='판정 기준'!$B$8,"경기긴장도, ","")&amp;IF(Q199&gt;='판정 기준'!$B$8,"사회적 도움 활용, ","")&amp;IF(K199&gt;='판정 기준'!$B$8,"경기 준비 능력, ","")&amp;IF(N199&gt;='판정 기준'!$B$8,"실수 후 회복력, ","")&amp;IF(P199&gt;='판정 기준'!$B$8,"자기 통제력, ","")</f>
        <v>사회적 도움 활용, 경기 준비 능력, 자기 통제력, </v>
      </c>
      <c r="AK199" s="23" t="n">
        <f aca="false">IF(AND(G199&lt;'판정 기준'!$B$8,OR(AJ199&lt;&gt;"",AP199&lt;&gt;"경기긴장도")),G199,0)</f>
        <v>3.4</v>
      </c>
      <c r="AL199" s="23" t="n">
        <f aca="false">IF(AND(Q199&lt;'판정 기준'!$B$8,OR(AJ199&lt;&gt;"",AP199&lt;&gt;"사회적 도움 활용")),Q199,0)</f>
        <v>0</v>
      </c>
      <c r="AM199" s="23" t="n">
        <f aca="false">IF(AND(K199&lt;'판정 기준'!$B$8,OR(AJ199&lt;&gt;"",AP199&lt;&gt;"경기 준비 능력")),K199,0)</f>
        <v>0</v>
      </c>
      <c r="AN199" s="23" t="n">
        <f aca="false">IF(AND(N199&lt;'판정 기준'!$B$8,OR(AJ199&lt;&gt;"",AP199&lt;&gt;"실수 후 회복력")),N199,0)</f>
        <v>3.7</v>
      </c>
      <c r="AO199" s="23" t="n">
        <f aca="false">IF(AND(P199&lt;'판정 기준'!$B$8,OR(AJ199&lt;&gt;"",AP199&lt;&gt;"자기 통제력")),P199,0)</f>
        <v>0</v>
      </c>
      <c r="AP199" s="23" t="str">
        <f aca="false">IF(Q199=MAX(G199,Q199,K199,N199,P199),"사회적 도움 활용",IF(P199=MAX(G199,Q199,K199,N199,P199),"자기 통제력",IF(G199=MAX(G199,Q199,K199,N199,P199),"경기긴장도",IF(K199=MAX(G199,Q199,K199,N199,P199),"경기 준비 능력","실수 후 회복력"))))</f>
        <v>경기 준비 능력</v>
      </c>
    </row>
    <row r="200" customFormat="false" ht="17.15" hidden="false" customHeight="false" outlineLevel="0" collapsed="false">
      <c r="A200" s="13" t="s">
        <v>419</v>
      </c>
      <c r="B200" s="13" t="s">
        <v>187</v>
      </c>
      <c r="C200" s="13" t="s">
        <v>188</v>
      </c>
      <c r="D200" s="14" t="n">
        <v>46128</v>
      </c>
      <c r="E200" s="41" t="s">
        <v>195</v>
      </c>
      <c r="F200" s="42" t="n">
        <v>5</v>
      </c>
      <c r="G200" s="42" t="n">
        <v>4.8</v>
      </c>
      <c r="H200" s="42" t="n">
        <v>5</v>
      </c>
      <c r="I200" s="42" t="n">
        <v>4.8</v>
      </c>
      <c r="J200" s="42" t="n">
        <v>4.5</v>
      </c>
      <c r="K200" s="42" t="n">
        <v>5.2</v>
      </c>
      <c r="L200" s="42" t="n">
        <v>5.3</v>
      </c>
      <c r="M200" s="42" t="n">
        <v>5.1</v>
      </c>
      <c r="N200" s="42" t="n">
        <v>4.4</v>
      </c>
      <c r="O200" s="42" t="n">
        <v>3.7</v>
      </c>
      <c r="P200" s="42" t="n">
        <v>5.7</v>
      </c>
      <c r="Q200" s="42" t="n">
        <v>5.4</v>
      </c>
      <c r="R200" s="42" t="n">
        <v>6</v>
      </c>
      <c r="S200" s="37" t="n">
        <f aca="false">AVERAGE(G200:J200)</f>
        <v>4.775</v>
      </c>
      <c r="T200" s="37" t="n">
        <f aca="false">AVERAGE(K200:M200)</f>
        <v>5.2</v>
      </c>
      <c r="U200" s="37" t="n">
        <f aca="false">AVERAGE(N200:O200)</f>
        <v>4.05</v>
      </c>
      <c r="V200" s="23" t="str">
        <f aca="false">IF(S200&gt;='판정 기준'!$B$3,"H","L")&amp;IF(T200&gt;='판정 기준'!$B$3,"H","L")&amp;IF(U200&gt;='판정 기준'!$B$3,"H","L")</f>
        <v>HHL</v>
      </c>
      <c r="W200" s="36" t="str">
        <f aca="false">INDEX('포지션 정의'!$A$2:$A$9,MATCH(V200,'포지션 정의'!$D$2:$D$9,0))</f>
        <v>B</v>
      </c>
      <c r="X200" s="36" t="str">
        <f aca="false">INDEX('포지션 정의'!$B$2:$B$9,MATCH(V200,'포지션 정의'!$D$2:$D$9,0))</f>
        <v>책임감 설계자형</v>
      </c>
      <c r="Y200" s="43" t="str">
        <f aca="false">IF(AJ200="","가장 높은 지표: "&amp;AP200,LEFT(AJ200,LEN(AJ200)-2))</f>
        <v>경기긴장도, 사회적 도움 활용, 경기 준비 능력, 자기 통제력</v>
      </c>
      <c r="Z200" s="43" t="str">
        <f aca="false">IF(MAX(AK200:AO200)=0,"심화: "&amp;IF(N200=MIN(G200,Q200,K200,N200,P200),"실수 후 회복력",IF(K200=MIN(G200,Q200,K200,N200,P200),"경기 준비 능력",IF(G200=MIN(G200,Q200,K200,N200,P200),"경기긴장도",IF(P200=MIN(G200,Q200,K200,N200,P200),"자기 통제력","사회적 도움 활용")))),IF(MAX(AK200:AO200)&gt;='판정 기준'!$B$8-'판정 기준'!$B$4,IF(AN200=MAX(AK200:AO200),"실수 후 회복력",IF(AM200=MAX(AK200:AO200),"경기 준비 능력",IF(AK200=MAX(AK200:AO200),"경기긴장도",IF(AO200=MAX(AK200:AO200),"자기 통제력","사회적 도움 활용")))),IF(AN200&gt;0,"실수 후 회복력",IF(AM200&gt;0,"경기 준비 능력",IF(AK200&gt;0,"경기긴장도",IF(AO200&gt;0,"자기 통제력","사회적 도움 활용"))))))</f>
        <v>실수 후 회복력</v>
      </c>
      <c r="AA200" s="43" t="str">
        <f aca="false">INDEX('포지션 정의'!$L$2:$L$9,MATCH(V200,'포지션 정의'!$D$2:$D$9,0))</f>
        <v>해리 케인 · 토니 크로스 · 필립 람</v>
      </c>
      <c r="AB200" s="24" t="n">
        <f aca="false">ROUND(100*(1-SQRT(((S200-'포지션 정의'!$N$2)^2+(T200-'포지션 정의'!$O$2)^2+(U200-'포지션 정의'!$P$2)^2)/3)/'판정 기준'!$B$7),0)</f>
        <v>88</v>
      </c>
      <c r="AC200" s="24" t="n">
        <f aca="false">ROUND(100*(1-SQRT(((S200-'포지션 정의'!$N$3)^2+(T200-'포지션 정의'!$O$3)^2+(U200-'포지션 정의'!$P$3)^2)/3)/'판정 기준'!$B$7),0)</f>
        <v>94</v>
      </c>
      <c r="AD200" s="24" t="n">
        <f aca="false">ROUND(100*(1-SQRT(((S200-'포지션 정의'!$N$4)^2+(T200-'포지션 정의'!$O$4)^2+(U200-'포지션 정의'!$P$4)^2)/3)/'판정 기준'!$B$7),0)</f>
        <v>83</v>
      </c>
      <c r="AE200" s="24" t="n">
        <f aca="false">ROUND(100*(1-SQRT(((S200-'포지션 정의'!$N$5)^2+(T200-'포지션 정의'!$O$5)^2+(U200-'포지션 정의'!$P$5)^2)/3)/'판정 기준'!$B$7),0)</f>
        <v>79</v>
      </c>
      <c r="AF200" s="24" t="n">
        <f aca="false">ROUND(100*(1-SQRT(((S200-'포지션 정의'!$N$6)^2+(T200-'포지션 정의'!$O$6)^2+(U200-'포지션 정의'!$P$6)^2)/3)/'판정 기준'!$B$7),0)</f>
        <v>76</v>
      </c>
      <c r="AG200" s="24" t="n">
        <f aca="false">ROUND(100*(1-SQRT(((S200-'포지션 정의'!$N$7)^2+(T200-'포지션 정의'!$O$7)^2+(U200-'포지션 정의'!$P$7)^2)/3)/'판정 기준'!$B$7),0)</f>
        <v>83</v>
      </c>
      <c r="AH200" s="24" t="n">
        <f aca="false">ROUND(100*(1-SQRT(((S200-'포지션 정의'!$N$8)^2+(T200-'포지션 정의'!$O$8)^2+(U200-'포지션 정의'!$P$8)^2)/3)/'판정 기준'!$B$7),0)</f>
        <v>80</v>
      </c>
      <c r="AI200" s="24" t="n">
        <f aca="false">ROUND(100*(1-SQRT(((S200-'포지션 정의'!$N$9)^2+(T200-'포지션 정의'!$O$9)^2+(U200-'포지션 정의'!$P$9)^2)/3)/'판정 기준'!$B$7),0)</f>
        <v>86</v>
      </c>
      <c r="AJ200" s="23" t="str">
        <f aca="false">IF(G200&gt;='판정 기준'!$B$8,"경기긴장도, ","")&amp;IF(Q200&gt;='판정 기준'!$B$8,"사회적 도움 활용, ","")&amp;IF(K200&gt;='판정 기준'!$B$8,"경기 준비 능력, ","")&amp;IF(N200&gt;='판정 기준'!$B$8,"실수 후 회복력, ","")&amp;IF(P200&gt;='판정 기준'!$B$8,"자기 통제력, ","")</f>
        <v>경기긴장도, 사회적 도움 활용, 경기 준비 능력, 자기 통제력, </v>
      </c>
      <c r="AK200" s="23" t="n">
        <f aca="false">IF(AND(G200&lt;'판정 기준'!$B$8,OR(AJ200&lt;&gt;"",AP200&lt;&gt;"경기긴장도")),G200,0)</f>
        <v>0</v>
      </c>
      <c r="AL200" s="23" t="n">
        <f aca="false">IF(AND(Q200&lt;'판정 기준'!$B$8,OR(AJ200&lt;&gt;"",AP200&lt;&gt;"사회적 도움 활용")),Q200,0)</f>
        <v>0</v>
      </c>
      <c r="AM200" s="23" t="n">
        <f aca="false">IF(AND(K200&lt;'판정 기준'!$B$8,OR(AJ200&lt;&gt;"",AP200&lt;&gt;"경기 준비 능력")),K200,0)</f>
        <v>0</v>
      </c>
      <c r="AN200" s="23" t="n">
        <f aca="false">IF(AND(N200&lt;'판정 기준'!$B$8,OR(AJ200&lt;&gt;"",AP200&lt;&gt;"실수 후 회복력")),N200,0)</f>
        <v>4.4</v>
      </c>
      <c r="AO200" s="23" t="n">
        <f aca="false">IF(AND(P200&lt;'판정 기준'!$B$8,OR(AJ200&lt;&gt;"",AP200&lt;&gt;"자기 통제력")),P200,0)</f>
        <v>0</v>
      </c>
      <c r="AP200" s="23" t="str">
        <f aca="false">IF(Q200=MAX(G200,Q200,K200,N200,P200),"사회적 도움 활용",IF(P200=MAX(G200,Q200,K200,N200,P200),"자기 통제력",IF(G200=MAX(G200,Q200,K200,N200,P200),"경기긴장도",IF(K200=MAX(G200,Q200,K200,N200,P200),"경기 준비 능력","실수 후 회복력"))))</f>
        <v>자기 통제력</v>
      </c>
    </row>
    <row r="201" customFormat="false" ht="17.15" hidden="false" customHeight="false" outlineLevel="0" collapsed="false">
      <c r="A201" s="13" t="s">
        <v>420</v>
      </c>
      <c r="B201" s="13" t="s">
        <v>187</v>
      </c>
      <c r="C201" s="13" t="s">
        <v>188</v>
      </c>
      <c r="D201" s="14" t="n">
        <v>46128</v>
      </c>
      <c r="E201" s="41" t="s">
        <v>195</v>
      </c>
      <c r="F201" s="42" t="n">
        <v>3.9</v>
      </c>
      <c r="G201" s="42" t="n">
        <v>3.4</v>
      </c>
      <c r="H201" s="42" t="n">
        <v>4</v>
      </c>
      <c r="I201" s="42" t="n">
        <v>2.2</v>
      </c>
      <c r="J201" s="42" t="n">
        <v>4</v>
      </c>
      <c r="K201" s="42" t="n">
        <v>3.9</v>
      </c>
      <c r="L201" s="42" t="n">
        <v>3.7</v>
      </c>
      <c r="M201" s="42" t="n">
        <v>4.1</v>
      </c>
      <c r="N201" s="42" t="n">
        <v>3.6</v>
      </c>
      <c r="O201" s="42" t="n">
        <v>4.2</v>
      </c>
      <c r="P201" s="42" t="n">
        <v>5</v>
      </c>
      <c r="Q201" s="42" t="n">
        <v>2.8</v>
      </c>
      <c r="R201" s="42" t="n">
        <v>5</v>
      </c>
      <c r="S201" s="37" t="n">
        <f aca="false">AVERAGE(G201:J201)</f>
        <v>3.4</v>
      </c>
      <c r="T201" s="37" t="n">
        <f aca="false">AVERAGE(K201:M201)</f>
        <v>3.9</v>
      </c>
      <c r="U201" s="37" t="n">
        <f aca="false">AVERAGE(N201:O201)</f>
        <v>3.9</v>
      </c>
      <c r="V201" s="23" t="str">
        <f aca="false">IF(S201&gt;='판정 기준'!$B$3,"H","L")&amp;IF(T201&gt;='판정 기준'!$B$3,"H","L")&amp;IF(U201&gt;='판정 기준'!$B$3,"H","L")</f>
        <v>LLL</v>
      </c>
      <c r="W201" s="36" t="str">
        <f aca="false">INDEX('포지션 정의'!$A$2:$A$9,MATCH(V201,'포지션 정의'!$D$2:$D$9,0))</f>
        <v>G</v>
      </c>
      <c r="X201" s="36" t="str">
        <f aca="false">INDEX('포지션 정의'!$B$2:$B$9,MATCH(V201,'포지션 정의'!$D$2:$D$9,0))</f>
        <v>스펀지 흡수형</v>
      </c>
      <c r="Y201" s="43" t="str">
        <f aca="false">IF(AJ201="","가장 높은 지표: "&amp;AP201,LEFT(AJ201,LEN(AJ201)-2))</f>
        <v>자기 통제력</v>
      </c>
      <c r="Z201" s="43" t="str">
        <f aca="false">IF(MAX(AK201:AO201)=0,"심화: "&amp;IF(N201=MIN(G201,Q201,K201,N201,P201),"실수 후 회복력",IF(K201=MIN(G201,Q201,K201,N201,P201),"경기 준비 능력",IF(G201=MIN(G201,Q201,K201,N201,P201),"경기긴장도",IF(P201=MIN(G201,Q201,K201,N201,P201),"자기 통제력","사회적 도움 활용")))),IF(MAX(AK201:AO201)&gt;='판정 기준'!$B$8-'판정 기준'!$B$4,IF(AN201=MAX(AK201:AO201),"실수 후 회복력",IF(AM201=MAX(AK201:AO201),"경기 준비 능력",IF(AK201=MAX(AK201:AO201),"경기긴장도",IF(AO201=MAX(AK201:AO201),"자기 통제력","사회적 도움 활용")))),IF(AN201&gt;0,"실수 후 회복력",IF(AM201&gt;0,"경기 준비 능력",IF(AK201&gt;0,"경기긴장도",IF(AO201&gt;0,"자기 통제력","사회적 도움 활용"))))))</f>
        <v>실수 후 회복력</v>
      </c>
      <c r="AA201" s="43" t="str">
        <f aca="false">INDEX('포지션 정의'!$L$2:$L$9,MATCH(V201,'포지션 정의'!$D$2:$D$9,0))</f>
        <v>디디에 드로그바 · 앙투안 그리즈만 · 모하메드 살라</v>
      </c>
      <c r="AB201" s="24" t="n">
        <f aca="false">ROUND(100*(1-SQRT(((S201-'포지션 정의'!$N$2)^2+(T201-'포지션 정의'!$O$2)^2+(U201-'포지션 정의'!$P$2)^2)/3)/'판정 기준'!$B$7),0)</f>
        <v>84</v>
      </c>
      <c r="AC201" s="24" t="n">
        <f aca="false">ROUND(100*(1-SQRT(((S201-'포지션 정의'!$N$3)^2+(T201-'포지션 정의'!$O$3)^2+(U201-'포지션 정의'!$P$3)^2)/3)/'판정 기준'!$B$7),0)</f>
        <v>74</v>
      </c>
      <c r="AD201" s="24" t="n">
        <f aca="false">ROUND(100*(1-SQRT(((S201-'포지션 정의'!$N$4)^2+(T201-'포지션 정의'!$O$4)^2+(U201-'포지션 정의'!$P$4)^2)/3)/'판정 기준'!$B$7),0)</f>
        <v>79</v>
      </c>
      <c r="AE201" s="24" t="n">
        <f aca="false">ROUND(100*(1-SQRT(((S201-'포지션 정의'!$N$5)^2+(T201-'포지션 정의'!$O$5)^2+(U201-'포지션 정의'!$P$5)^2)/3)/'판정 기준'!$B$7),0)</f>
        <v>74</v>
      </c>
      <c r="AF201" s="24" t="n">
        <f aca="false">ROUND(100*(1-SQRT(((S201-'포지션 정의'!$N$6)^2+(T201-'포지션 정의'!$O$6)^2+(U201-'포지션 정의'!$P$6)^2)/3)/'판정 기준'!$B$7),0)</f>
        <v>84</v>
      </c>
      <c r="AG201" s="24" t="n">
        <f aca="false">ROUND(100*(1-SQRT(((S201-'포지션 정의'!$N$7)^2+(T201-'포지션 정의'!$O$7)^2+(U201-'포지션 정의'!$P$7)^2)/3)/'판정 기준'!$B$7),0)</f>
        <v>78</v>
      </c>
      <c r="AH201" s="24" t="n">
        <f aca="false">ROUND(100*(1-SQRT(((S201-'포지션 정의'!$N$8)^2+(T201-'포지션 정의'!$O$8)^2+(U201-'포지션 정의'!$P$8)^2)/3)/'판정 기준'!$B$7),0)</f>
        <v>95</v>
      </c>
      <c r="AI201" s="24" t="n">
        <f aca="false">ROUND(100*(1-SQRT(((S201-'포지션 정의'!$N$9)^2+(T201-'포지션 정의'!$O$9)^2+(U201-'포지션 정의'!$P$9)^2)/3)/'판정 기준'!$B$7),0)</f>
        <v>70</v>
      </c>
      <c r="AJ201" s="23" t="str">
        <f aca="false">IF(G201&gt;='판정 기준'!$B$8,"경기긴장도, ","")&amp;IF(Q201&gt;='판정 기준'!$B$8,"사회적 도움 활용, ","")&amp;IF(K201&gt;='판정 기준'!$B$8,"경기 준비 능력, ","")&amp;IF(N201&gt;='판정 기준'!$B$8,"실수 후 회복력, ","")&amp;IF(P201&gt;='판정 기준'!$B$8,"자기 통제력, ","")</f>
        <v>자기 통제력, </v>
      </c>
      <c r="AK201" s="23" t="n">
        <f aca="false">IF(AND(G201&lt;'판정 기준'!$B$8,OR(AJ201&lt;&gt;"",AP201&lt;&gt;"경기긴장도")),G201,0)</f>
        <v>3.4</v>
      </c>
      <c r="AL201" s="23" t="n">
        <f aca="false">IF(AND(Q201&lt;'판정 기준'!$B$8,OR(AJ201&lt;&gt;"",AP201&lt;&gt;"사회적 도움 활용")),Q201,0)</f>
        <v>2.8</v>
      </c>
      <c r="AM201" s="23" t="n">
        <f aca="false">IF(AND(K201&lt;'판정 기준'!$B$8,OR(AJ201&lt;&gt;"",AP201&lt;&gt;"경기 준비 능력")),K201,0)</f>
        <v>3.9</v>
      </c>
      <c r="AN201" s="23" t="n">
        <f aca="false">IF(AND(N201&lt;'판정 기준'!$B$8,OR(AJ201&lt;&gt;"",AP201&lt;&gt;"실수 후 회복력")),N201,0)</f>
        <v>3.6</v>
      </c>
      <c r="AO201" s="23" t="n">
        <f aca="false">IF(AND(P201&lt;'판정 기준'!$B$8,OR(AJ201&lt;&gt;"",AP201&lt;&gt;"자기 통제력")),P201,0)</f>
        <v>0</v>
      </c>
      <c r="AP201" s="23" t="str">
        <f aca="false">IF(Q201=MAX(G201,Q201,K201,N201,P201),"사회적 도움 활용",IF(P201=MAX(G201,Q201,K201,N201,P201),"자기 통제력",IF(G201=MAX(G201,Q201,K201,N201,P201),"경기긴장도",IF(K201=MAX(G201,Q201,K201,N201,P201),"경기 준비 능력","실수 후 회복력"))))</f>
        <v>자기 통제력</v>
      </c>
    </row>
    <row r="202" customFormat="false" ht="17.15" hidden="false" customHeight="false" outlineLevel="0" collapsed="false">
      <c r="A202" s="13" t="s">
        <v>421</v>
      </c>
      <c r="B202" s="13" t="s">
        <v>187</v>
      </c>
      <c r="C202" s="13" t="s">
        <v>188</v>
      </c>
      <c r="D202" s="14" t="n">
        <v>46256</v>
      </c>
      <c r="E202" s="41" t="s">
        <v>193</v>
      </c>
      <c r="F202" s="42" t="n">
        <v>4.7</v>
      </c>
      <c r="G202" s="42" t="n">
        <v>4.6</v>
      </c>
      <c r="H202" s="42" t="n">
        <v>4.8</v>
      </c>
      <c r="I202" s="42" t="n">
        <v>4.6</v>
      </c>
      <c r="J202" s="42" t="n">
        <v>4.7</v>
      </c>
      <c r="K202" s="42" t="n">
        <v>5.6</v>
      </c>
      <c r="L202" s="42" t="n">
        <v>5.7</v>
      </c>
      <c r="M202" s="42" t="n">
        <v>5.6</v>
      </c>
      <c r="N202" s="42" t="n">
        <v>4.3</v>
      </c>
      <c r="O202" s="42" t="n">
        <v>4.3</v>
      </c>
      <c r="P202" s="42" t="n">
        <v>4.2</v>
      </c>
      <c r="Q202" s="42" t="n">
        <v>5</v>
      </c>
      <c r="R202" s="42" t="n">
        <v>5.3</v>
      </c>
      <c r="S202" s="37" t="n">
        <f aca="false">AVERAGE(G202:J202)</f>
        <v>4.675</v>
      </c>
      <c r="T202" s="37" t="n">
        <f aca="false">AVERAGE(K202:M202)</f>
        <v>5.63333333333333</v>
      </c>
      <c r="U202" s="37" t="n">
        <f aca="false">AVERAGE(N202:O202)</f>
        <v>4.3</v>
      </c>
      <c r="V202" s="23" t="str">
        <f aca="false">IF(S202&gt;='판정 기준'!$B$3,"H","L")&amp;IF(T202&gt;='판정 기준'!$B$3,"H","L")&amp;IF(U202&gt;='판정 기준'!$B$3,"H","L")</f>
        <v>HHL</v>
      </c>
      <c r="W202" s="36" t="str">
        <f aca="false">INDEX('포지션 정의'!$A$2:$A$9,MATCH(V202,'포지션 정의'!$D$2:$D$9,0))</f>
        <v>B</v>
      </c>
      <c r="X202" s="36" t="str">
        <f aca="false">INDEX('포지션 정의'!$B$2:$B$9,MATCH(V202,'포지션 정의'!$D$2:$D$9,0))</f>
        <v>책임감 설계자형</v>
      </c>
      <c r="Y202" s="43" t="str">
        <f aca="false">IF(AJ202="","가장 높은 지표: "&amp;AP202,LEFT(AJ202,LEN(AJ202)-2))</f>
        <v>사회적 도움 활용, 경기 준비 능력</v>
      </c>
      <c r="Z202" s="43" t="str">
        <f aca="false">IF(MAX(AK202:AO202)=0,"심화: "&amp;IF(N202=MIN(G202,Q202,K202,N202,P202),"실수 후 회복력",IF(K202=MIN(G202,Q202,K202,N202,P202),"경기 준비 능력",IF(G202=MIN(G202,Q202,K202,N202,P202),"경기긴장도",IF(P202=MIN(G202,Q202,K202,N202,P202),"자기 통제력","사회적 도움 활용")))),IF(MAX(AK202:AO202)&gt;='판정 기준'!$B$8-'판정 기준'!$B$4,IF(AN202=MAX(AK202:AO202),"실수 후 회복력",IF(AM202=MAX(AK202:AO202),"경기 준비 능력",IF(AK202=MAX(AK202:AO202),"경기긴장도",IF(AO202=MAX(AK202:AO202),"자기 통제력","사회적 도움 활용")))),IF(AN202&gt;0,"실수 후 회복력",IF(AM202&gt;0,"경기 준비 능력",IF(AK202&gt;0,"경기긴장도",IF(AO202&gt;0,"자기 통제력","사회적 도움 활용"))))))</f>
        <v>경기긴장도</v>
      </c>
      <c r="AA202" s="43" t="str">
        <f aca="false">INDEX('포지션 정의'!$L$2:$L$9,MATCH(V202,'포지션 정의'!$D$2:$D$9,0))</f>
        <v>해리 케인 · 토니 크로스 · 필립 람</v>
      </c>
      <c r="AB202" s="24" t="n">
        <f aca="false">ROUND(100*(1-SQRT(((S202-'포지션 정의'!$N$2)^2+(T202-'포지션 정의'!$O$2)^2+(U202-'포지션 정의'!$P$2)^2)/3)/'판정 기준'!$B$7),0)</f>
        <v>87</v>
      </c>
      <c r="AC202" s="24" t="n">
        <f aca="false">ROUND(100*(1-SQRT(((S202-'포지션 정의'!$N$3)^2+(T202-'포지션 정의'!$O$3)^2+(U202-'포지션 정의'!$P$3)^2)/3)/'판정 기준'!$B$7),0)</f>
        <v>90</v>
      </c>
      <c r="AD202" s="24" t="n">
        <f aca="false">ROUND(100*(1-SQRT(((S202-'포지션 정의'!$N$4)^2+(T202-'포지션 정의'!$O$4)^2+(U202-'포지션 정의'!$P$4)^2)/3)/'판정 기준'!$B$7),0)</f>
        <v>77</v>
      </c>
      <c r="AE202" s="24" t="n">
        <f aca="false">ROUND(100*(1-SQRT(((S202-'포지션 정의'!$N$5)^2+(T202-'포지션 정의'!$O$5)^2+(U202-'포지션 정의'!$P$5)^2)/3)/'판정 기준'!$B$7),0)</f>
        <v>76</v>
      </c>
      <c r="AF202" s="24" t="n">
        <f aca="false">ROUND(100*(1-SQRT(((S202-'포지션 정의'!$N$6)^2+(T202-'포지션 정의'!$O$6)^2+(U202-'포지션 정의'!$P$6)^2)/3)/'판정 기준'!$B$7),0)</f>
        <v>74</v>
      </c>
      <c r="AG202" s="24" t="n">
        <f aca="false">ROUND(100*(1-SQRT(((S202-'포지션 정의'!$N$7)^2+(T202-'포지션 정의'!$O$7)^2+(U202-'포지션 정의'!$P$7)^2)/3)/'판정 기준'!$B$7),0)</f>
        <v>85</v>
      </c>
      <c r="AH202" s="24" t="n">
        <f aca="false">ROUND(100*(1-SQRT(((S202-'포지션 정의'!$N$8)^2+(T202-'포지션 정의'!$O$8)^2+(U202-'포지션 정의'!$P$8)^2)/3)/'판정 기준'!$B$7),0)</f>
        <v>76</v>
      </c>
      <c r="AI202" s="24" t="n">
        <f aca="false">ROUND(100*(1-SQRT(((S202-'포지션 정의'!$N$9)^2+(T202-'포지션 정의'!$O$9)^2+(U202-'포지션 정의'!$P$9)^2)/3)/'판정 기준'!$B$7),0)</f>
        <v>87</v>
      </c>
      <c r="AJ202" s="23" t="str">
        <f aca="false">IF(G202&gt;='판정 기준'!$B$8,"경기긴장도, ","")&amp;IF(Q202&gt;='판정 기준'!$B$8,"사회적 도움 활용, ","")&amp;IF(K202&gt;='판정 기준'!$B$8,"경기 준비 능력, ","")&amp;IF(N202&gt;='판정 기준'!$B$8,"실수 후 회복력, ","")&amp;IF(P202&gt;='판정 기준'!$B$8,"자기 통제력, ","")</f>
        <v>사회적 도움 활용, 경기 준비 능력, </v>
      </c>
      <c r="AK202" s="23" t="n">
        <f aca="false">IF(AND(G202&lt;'판정 기준'!$B$8,OR(AJ202&lt;&gt;"",AP202&lt;&gt;"경기긴장도")),G202,0)</f>
        <v>4.6</v>
      </c>
      <c r="AL202" s="23" t="n">
        <f aca="false">IF(AND(Q202&lt;'판정 기준'!$B$8,OR(AJ202&lt;&gt;"",AP202&lt;&gt;"사회적 도움 활용")),Q202,0)</f>
        <v>0</v>
      </c>
      <c r="AM202" s="23" t="n">
        <f aca="false">IF(AND(K202&lt;'판정 기준'!$B$8,OR(AJ202&lt;&gt;"",AP202&lt;&gt;"경기 준비 능력")),K202,0)</f>
        <v>0</v>
      </c>
      <c r="AN202" s="23" t="n">
        <f aca="false">IF(AND(N202&lt;'판정 기준'!$B$8,OR(AJ202&lt;&gt;"",AP202&lt;&gt;"실수 후 회복력")),N202,0)</f>
        <v>4.3</v>
      </c>
      <c r="AO202" s="23" t="n">
        <f aca="false">IF(AND(P202&lt;'판정 기준'!$B$8,OR(AJ202&lt;&gt;"",AP202&lt;&gt;"자기 통제력")),P202,0)</f>
        <v>4.2</v>
      </c>
      <c r="AP202" s="23" t="str">
        <f aca="false">IF(Q202=MAX(G202,Q202,K202,N202,P202),"사회적 도움 활용",IF(P202=MAX(G202,Q202,K202,N202,P202),"자기 통제력",IF(G202=MAX(G202,Q202,K202,N202,P202),"경기긴장도",IF(K202=MAX(G202,Q202,K202,N202,P202),"경기 준비 능력","실수 후 회복력"))))</f>
        <v>경기 준비 능력</v>
      </c>
    </row>
    <row r="203" customFormat="false" ht="17.15" hidden="false" customHeight="false" outlineLevel="0" collapsed="false">
      <c r="A203" s="13" t="s">
        <v>422</v>
      </c>
      <c r="B203" s="13" t="s">
        <v>187</v>
      </c>
      <c r="C203" s="13" t="s">
        <v>188</v>
      </c>
      <c r="D203" s="14" t="n">
        <v>46127</v>
      </c>
      <c r="E203" s="41" t="s">
        <v>193</v>
      </c>
      <c r="F203" s="42" t="n">
        <v>4.7</v>
      </c>
      <c r="G203" s="42" t="n">
        <v>4.6</v>
      </c>
      <c r="H203" s="42" t="n">
        <v>4.5</v>
      </c>
      <c r="I203" s="42" t="n">
        <v>5.4</v>
      </c>
      <c r="J203" s="42" t="n">
        <v>4.3</v>
      </c>
      <c r="K203" s="42" t="n">
        <v>5.2</v>
      </c>
      <c r="L203" s="42" t="n">
        <v>5.2</v>
      </c>
      <c r="M203" s="42" t="n">
        <v>5.1</v>
      </c>
      <c r="N203" s="42" t="n">
        <v>5.1</v>
      </c>
      <c r="O203" s="42" t="n">
        <v>5.5</v>
      </c>
      <c r="P203" s="42" t="n">
        <v>3.8</v>
      </c>
      <c r="Q203" s="42" t="n">
        <v>5.4</v>
      </c>
      <c r="R203" s="42" t="n">
        <v>5.7</v>
      </c>
      <c r="S203" s="37" t="n">
        <f aca="false">AVERAGE(G203:J203)</f>
        <v>4.7</v>
      </c>
      <c r="T203" s="37" t="n">
        <f aca="false">AVERAGE(K203:M203)</f>
        <v>5.16666666666667</v>
      </c>
      <c r="U203" s="37" t="n">
        <f aca="false">AVERAGE(N203:O203)</f>
        <v>5.3</v>
      </c>
      <c r="V203" s="23" t="str">
        <f aca="false">IF(S203&gt;='판정 기준'!$B$3,"H","L")&amp;IF(T203&gt;='판정 기준'!$B$3,"H","L")&amp;IF(U203&gt;='판정 기준'!$B$3,"H","L")</f>
        <v>HHH</v>
      </c>
      <c r="W203" s="36" t="str">
        <f aca="false">INDEX('포지션 정의'!$A$2:$A$9,MATCH(V203,'포지션 정의'!$D$2:$D$9,0))</f>
        <v>H</v>
      </c>
      <c r="X203" s="36" t="str">
        <f aca="false">INDEX('포지션 정의'!$B$2:$B$9,MATCH(V203,'포지션 정의'!$D$2:$D$9,0))</f>
        <v>올라운드 밸런스형</v>
      </c>
      <c r="Y203" s="43" t="str">
        <f aca="false">IF(AJ203="","가장 높은 지표: "&amp;AP203,LEFT(AJ203,LEN(AJ203)-2))</f>
        <v>사회적 도움 활용, 경기 준비 능력, 실수 후 회복력</v>
      </c>
      <c r="Z203" s="43" t="str">
        <f aca="false">IF(MAX(AK203:AO203)=0,"심화: "&amp;IF(N203=MIN(G203,Q203,K203,N203,P203),"실수 후 회복력",IF(K203=MIN(G203,Q203,K203,N203,P203),"경기 준비 능력",IF(G203=MIN(G203,Q203,K203,N203,P203),"경기긴장도",IF(P203=MIN(G203,Q203,K203,N203,P203),"자기 통제력","사회적 도움 활용")))),IF(MAX(AK203:AO203)&gt;='판정 기준'!$B$8-'판정 기준'!$B$4,IF(AN203=MAX(AK203:AO203),"실수 후 회복력",IF(AM203=MAX(AK203:AO203),"경기 준비 능력",IF(AK203=MAX(AK203:AO203),"경기긴장도",IF(AO203=MAX(AK203:AO203),"자기 통제력","사회적 도움 활용")))),IF(AN203&gt;0,"실수 후 회복력",IF(AM203&gt;0,"경기 준비 능력",IF(AK203&gt;0,"경기긴장도",IF(AO203&gt;0,"자기 통제력","사회적 도움 활용"))))))</f>
        <v>경기긴장도</v>
      </c>
      <c r="AA203" s="43" t="str">
        <f aca="false">INDEX('포지션 정의'!$L$2:$L$9,MATCH(V203,'포지션 정의'!$D$2:$D$9,0))</f>
        <v>크리스티아누 호날두 · 루카 모드리치 · 버질 반 다이크</v>
      </c>
      <c r="AB203" s="24" t="n">
        <f aca="false">ROUND(100*(1-SQRT(((S203-'포지션 정의'!$N$2)^2+(T203-'포지션 정의'!$O$2)^2+(U203-'포지션 정의'!$P$2)^2)/3)/'판정 기준'!$B$7),0)</f>
        <v>80</v>
      </c>
      <c r="AC203" s="24" t="n">
        <f aca="false">ROUND(100*(1-SQRT(((S203-'포지션 정의'!$N$3)^2+(T203-'포지션 정의'!$O$3)^2+(U203-'포지션 정의'!$P$3)^2)/3)/'판정 기준'!$B$7),0)</f>
        <v>82</v>
      </c>
      <c r="AD203" s="24" t="n">
        <f aca="false">ROUND(100*(1-SQRT(((S203-'포지션 정의'!$N$4)^2+(T203-'포지션 정의'!$O$4)^2+(U203-'포지션 정의'!$P$4)^2)/3)/'판정 기준'!$B$7),0)</f>
        <v>76</v>
      </c>
      <c r="AE203" s="24" t="n">
        <f aca="false">ROUND(100*(1-SQRT(((S203-'포지션 정의'!$N$5)^2+(T203-'포지션 정의'!$O$5)^2+(U203-'포지션 정의'!$P$5)^2)/3)/'판정 기준'!$B$7),0)</f>
        <v>83</v>
      </c>
      <c r="AF203" s="24" t="n">
        <f aca="false">ROUND(100*(1-SQRT(((S203-'포지션 정의'!$N$6)^2+(T203-'포지션 정의'!$O$6)^2+(U203-'포지션 정의'!$P$6)^2)/3)/'판정 기준'!$B$7),0)</f>
        <v>81</v>
      </c>
      <c r="AG203" s="24" t="n">
        <f aca="false">ROUND(100*(1-SQRT(((S203-'포지션 정의'!$N$7)^2+(T203-'포지션 정의'!$O$7)^2+(U203-'포지션 정의'!$P$7)^2)/3)/'판정 기준'!$B$7),0)</f>
        <v>90</v>
      </c>
      <c r="AH203" s="24" t="n">
        <f aca="false">ROUND(100*(1-SQRT(((S203-'포지션 정의'!$N$8)^2+(T203-'포지션 정의'!$O$8)^2+(U203-'포지션 정의'!$P$8)^2)/3)/'판정 기준'!$B$7),0)</f>
        <v>74</v>
      </c>
      <c r="AI203" s="24" t="n">
        <f aca="false">ROUND(100*(1-SQRT(((S203-'포지션 정의'!$N$9)^2+(T203-'포지션 정의'!$O$9)^2+(U203-'포지션 정의'!$P$9)^2)/3)/'판정 기준'!$B$7),0)</f>
        <v>94</v>
      </c>
      <c r="AJ203" s="23" t="str">
        <f aca="false">IF(G203&gt;='판정 기준'!$B$8,"경기긴장도, ","")&amp;IF(Q203&gt;='판정 기준'!$B$8,"사회적 도움 활용, ","")&amp;IF(K203&gt;='판정 기준'!$B$8,"경기 준비 능력, ","")&amp;IF(N203&gt;='판정 기준'!$B$8,"실수 후 회복력, ","")&amp;IF(P203&gt;='판정 기준'!$B$8,"자기 통제력, ","")</f>
        <v>사회적 도움 활용, 경기 준비 능력, 실수 후 회복력, </v>
      </c>
      <c r="AK203" s="23" t="n">
        <f aca="false">IF(AND(G203&lt;'판정 기준'!$B$8,OR(AJ203&lt;&gt;"",AP203&lt;&gt;"경기긴장도")),G203,0)</f>
        <v>4.6</v>
      </c>
      <c r="AL203" s="23" t="n">
        <f aca="false">IF(AND(Q203&lt;'판정 기준'!$B$8,OR(AJ203&lt;&gt;"",AP203&lt;&gt;"사회적 도움 활용")),Q203,0)</f>
        <v>0</v>
      </c>
      <c r="AM203" s="23" t="n">
        <f aca="false">IF(AND(K203&lt;'판정 기준'!$B$8,OR(AJ203&lt;&gt;"",AP203&lt;&gt;"경기 준비 능력")),K203,0)</f>
        <v>0</v>
      </c>
      <c r="AN203" s="23" t="n">
        <f aca="false">IF(AND(N203&lt;'판정 기준'!$B$8,OR(AJ203&lt;&gt;"",AP203&lt;&gt;"실수 후 회복력")),N203,0)</f>
        <v>0</v>
      </c>
      <c r="AO203" s="23" t="n">
        <f aca="false">IF(AND(P203&lt;'판정 기준'!$B$8,OR(AJ203&lt;&gt;"",AP203&lt;&gt;"자기 통제력")),P203,0)</f>
        <v>3.8</v>
      </c>
      <c r="AP203" s="23" t="str">
        <f aca="false">IF(Q203=MAX(G203,Q203,K203,N203,P203),"사회적 도움 활용",IF(P203=MAX(G203,Q203,K203,N203,P203),"자기 통제력",IF(G203=MAX(G203,Q203,K203,N203,P203),"경기긴장도",IF(K203=MAX(G203,Q203,K203,N203,P203),"경기 준비 능력","실수 후 회복력"))))</f>
        <v>사회적 도움 활용</v>
      </c>
    </row>
    <row r="204" customFormat="false" ht="17.15" hidden="false" customHeight="false" outlineLevel="0" collapsed="false">
      <c r="A204" s="13" t="s">
        <v>423</v>
      </c>
      <c r="B204" s="13" t="s">
        <v>187</v>
      </c>
      <c r="C204" s="13" t="s">
        <v>188</v>
      </c>
      <c r="D204" s="14" t="n">
        <v>46127</v>
      </c>
      <c r="E204" s="41" t="s">
        <v>195</v>
      </c>
      <c r="F204" s="42" t="n">
        <v>5.1</v>
      </c>
      <c r="G204" s="42" t="n">
        <v>4.8</v>
      </c>
      <c r="H204" s="42" t="n">
        <v>4.8</v>
      </c>
      <c r="I204" s="42" t="n">
        <v>4.8</v>
      </c>
      <c r="J204" s="42" t="n">
        <v>4.8</v>
      </c>
      <c r="K204" s="42" t="n">
        <v>4.8</v>
      </c>
      <c r="L204" s="42" t="n">
        <v>4.8</v>
      </c>
      <c r="M204" s="42" t="n">
        <v>4.9</v>
      </c>
      <c r="N204" s="42" t="n">
        <v>5.6</v>
      </c>
      <c r="O204" s="42" t="n">
        <v>5.5</v>
      </c>
      <c r="P204" s="42" t="n">
        <v>5.2</v>
      </c>
      <c r="Q204" s="42" t="n">
        <v>5.4</v>
      </c>
      <c r="R204" s="42" t="n">
        <v>5</v>
      </c>
      <c r="S204" s="37" t="n">
        <f aca="false">AVERAGE(G204:J204)</f>
        <v>4.8</v>
      </c>
      <c r="T204" s="37" t="n">
        <f aca="false">AVERAGE(K204:M204)</f>
        <v>4.83333333333333</v>
      </c>
      <c r="U204" s="37" t="n">
        <f aca="false">AVERAGE(N204:O204)</f>
        <v>5.55</v>
      </c>
      <c r="V204" s="23" t="str">
        <f aca="false">IF(S204&gt;='판정 기준'!$B$3,"H","L")&amp;IF(T204&gt;='판정 기준'!$B$3,"H","L")&amp;IF(U204&gt;='판정 기준'!$B$3,"H","L")</f>
        <v>HHH</v>
      </c>
      <c r="W204" s="36" t="str">
        <f aca="false">INDEX('포지션 정의'!$A$2:$A$9,MATCH(V204,'포지션 정의'!$D$2:$D$9,0))</f>
        <v>H</v>
      </c>
      <c r="X204" s="36" t="str">
        <f aca="false">INDEX('포지션 정의'!$B$2:$B$9,MATCH(V204,'포지션 정의'!$D$2:$D$9,0))</f>
        <v>올라운드 밸런스형</v>
      </c>
      <c r="Y204" s="43" t="str">
        <f aca="false">IF(AJ204="","가장 높은 지표: "&amp;AP204,LEFT(AJ204,LEN(AJ204)-2))</f>
        <v>경기긴장도, 사회적 도움 활용, 경기 준비 능력, 실수 후 회복력, 자기 통제력</v>
      </c>
      <c r="Z204" s="43" t="str">
        <f aca="false">IF(MAX(AK204:AO204)=0,"심화: "&amp;IF(N204=MIN(G204,Q204,K204,N204,P204),"실수 후 회복력",IF(K204=MIN(G204,Q204,K204,N204,P204),"경기 준비 능력",IF(G204=MIN(G204,Q204,K204,N204,P204),"경기긴장도",IF(P204=MIN(G204,Q204,K204,N204,P204),"자기 통제력","사회적 도움 활용")))),IF(MAX(AK204:AO204)&gt;='판정 기준'!$B$8-'판정 기준'!$B$4,IF(AN204=MAX(AK204:AO204),"실수 후 회복력",IF(AM204=MAX(AK204:AO204),"경기 준비 능력",IF(AK204=MAX(AK204:AO204),"경기긴장도",IF(AO204=MAX(AK204:AO204),"자기 통제력","사회적 도움 활용")))),IF(AN204&gt;0,"실수 후 회복력",IF(AM204&gt;0,"경기 준비 능력",IF(AK204&gt;0,"경기긴장도",IF(AO204&gt;0,"자기 통제력","사회적 도움 활용"))))))</f>
        <v>심화: 경기 준비 능력</v>
      </c>
      <c r="AA204" s="43" t="str">
        <f aca="false">INDEX('포지션 정의'!$L$2:$L$9,MATCH(V204,'포지션 정의'!$D$2:$D$9,0))</f>
        <v>크리스티아누 호날두 · 루카 모드리치 · 버질 반 다이크</v>
      </c>
      <c r="AB204" s="24" t="n">
        <f aca="false">ROUND(100*(1-SQRT(((S204-'포지션 정의'!$N$2)^2+(T204-'포지션 정의'!$O$2)^2+(U204-'포지션 정의'!$P$2)^2)/3)/'판정 기준'!$B$7),0)</f>
        <v>76</v>
      </c>
      <c r="AC204" s="24" t="n">
        <f aca="false">ROUND(100*(1-SQRT(((S204-'포지션 정의'!$N$3)^2+(T204-'포지션 정의'!$O$3)^2+(U204-'포지션 정의'!$P$3)^2)/3)/'판정 기준'!$B$7),0)</f>
        <v>79</v>
      </c>
      <c r="AD204" s="24" t="n">
        <f aca="false">ROUND(100*(1-SQRT(((S204-'포지션 정의'!$N$4)^2+(T204-'포지션 정의'!$O$4)^2+(U204-'포지션 정의'!$P$4)^2)/3)/'판정 기준'!$B$7),0)</f>
        <v>76</v>
      </c>
      <c r="AE204" s="24" t="n">
        <f aca="false">ROUND(100*(1-SQRT(((S204-'포지션 정의'!$N$5)^2+(T204-'포지션 정의'!$O$5)^2+(U204-'포지션 정의'!$P$5)^2)/3)/'판정 기준'!$B$7),0)</f>
        <v>87</v>
      </c>
      <c r="AF204" s="24" t="n">
        <f aca="false">ROUND(100*(1-SQRT(((S204-'포지션 정의'!$N$6)^2+(T204-'포지션 정의'!$O$6)^2+(U204-'포지션 정의'!$P$6)^2)/3)/'판정 기준'!$B$7),0)</f>
        <v>83</v>
      </c>
      <c r="AG204" s="24" t="n">
        <f aca="false">ROUND(100*(1-SQRT(((S204-'포지션 정의'!$N$7)^2+(T204-'포지션 정의'!$O$7)^2+(U204-'포지션 정의'!$P$7)^2)/3)/'판정 기준'!$B$7),0)</f>
        <v>87</v>
      </c>
      <c r="AH204" s="24" t="n">
        <f aca="false">ROUND(100*(1-SQRT(((S204-'포지션 정의'!$N$8)^2+(T204-'포지션 정의'!$O$8)^2+(U204-'포지션 정의'!$P$8)^2)/3)/'판정 기준'!$B$7),0)</f>
        <v>74</v>
      </c>
      <c r="AI204" s="24" t="n">
        <f aca="false">ROUND(100*(1-SQRT(((S204-'포지션 정의'!$N$9)^2+(T204-'포지션 정의'!$O$9)^2+(U204-'포지션 정의'!$P$9)^2)/3)/'판정 기준'!$B$7),0)</f>
        <v>93</v>
      </c>
      <c r="AJ204" s="23" t="str">
        <f aca="false">IF(G204&gt;='판정 기준'!$B$8,"경기긴장도, ","")&amp;IF(Q204&gt;='판정 기준'!$B$8,"사회적 도움 활용, ","")&amp;IF(K204&gt;='판정 기준'!$B$8,"경기 준비 능력, ","")&amp;IF(N204&gt;='판정 기준'!$B$8,"실수 후 회복력, ","")&amp;IF(P204&gt;='판정 기준'!$B$8,"자기 통제력, ","")</f>
        <v>경기긴장도, 사회적 도움 활용, 경기 준비 능력, 실수 후 회복력, 자기 통제력, </v>
      </c>
      <c r="AK204" s="23" t="n">
        <f aca="false">IF(AND(G204&lt;'판정 기준'!$B$8,OR(AJ204&lt;&gt;"",AP204&lt;&gt;"경기긴장도")),G204,0)</f>
        <v>0</v>
      </c>
      <c r="AL204" s="23" t="n">
        <f aca="false">IF(AND(Q204&lt;'판정 기준'!$B$8,OR(AJ204&lt;&gt;"",AP204&lt;&gt;"사회적 도움 활용")),Q204,0)</f>
        <v>0</v>
      </c>
      <c r="AM204" s="23" t="n">
        <f aca="false">IF(AND(K204&lt;'판정 기준'!$B$8,OR(AJ204&lt;&gt;"",AP204&lt;&gt;"경기 준비 능력")),K204,0)</f>
        <v>0</v>
      </c>
      <c r="AN204" s="23" t="n">
        <f aca="false">IF(AND(N204&lt;'판정 기준'!$B$8,OR(AJ204&lt;&gt;"",AP204&lt;&gt;"실수 후 회복력")),N204,0)</f>
        <v>0</v>
      </c>
      <c r="AO204" s="23" t="n">
        <f aca="false">IF(AND(P204&lt;'판정 기준'!$B$8,OR(AJ204&lt;&gt;"",AP204&lt;&gt;"자기 통제력")),P204,0)</f>
        <v>0</v>
      </c>
      <c r="AP204" s="23" t="str">
        <f aca="false">IF(Q204=MAX(G204,Q204,K204,N204,P204),"사회적 도움 활용",IF(P204=MAX(G204,Q204,K204,N204,P204),"자기 통제력",IF(G204=MAX(G204,Q204,K204,N204,P204),"경기긴장도",IF(K204=MAX(G204,Q204,K204,N204,P204),"경기 준비 능력","실수 후 회복력"))))</f>
        <v>실수 후 회복력</v>
      </c>
    </row>
    <row r="205" customFormat="false" ht="17.15" hidden="false" customHeight="false" outlineLevel="0" collapsed="false">
      <c r="A205" s="13" t="s">
        <v>424</v>
      </c>
      <c r="B205" s="13" t="s">
        <v>187</v>
      </c>
      <c r="C205" s="13" t="s">
        <v>188</v>
      </c>
      <c r="D205" s="14" t="n">
        <v>46131</v>
      </c>
      <c r="E205" s="41" t="s">
        <v>195</v>
      </c>
      <c r="F205" s="42" t="n">
        <v>4.4</v>
      </c>
      <c r="G205" s="42" t="n">
        <v>4.1</v>
      </c>
      <c r="H205" s="42" t="n">
        <v>3.8</v>
      </c>
      <c r="I205" s="42" t="n">
        <v>5</v>
      </c>
      <c r="J205" s="42" t="n">
        <v>3.7</v>
      </c>
      <c r="K205" s="42" t="n">
        <v>4.6</v>
      </c>
      <c r="L205" s="42" t="n">
        <v>4.3</v>
      </c>
      <c r="M205" s="42" t="n">
        <v>4.9</v>
      </c>
      <c r="N205" s="42" t="n">
        <v>4.1</v>
      </c>
      <c r="O205" s="42" t="n">
        <v>4.5</v>
      </c>
      <c r="P205" s="42" t="n">
        <v>5</v>
      </c>
      <c r="Q205" s="42" t="n">
        <v>4.8</v>
      </c>
      <c r="R205" s="42" t="n">
        <v>4.3</v>
      </c>
      <c r="S205" s="37" t="n">
        <f aca="false">AVERAGE(G205:J205)</f>
        <v>4.15</v>
      </c>
      <c r="T205" s="37" t="n">
        <f aca="false">AVERAGE(K205:M205)</f>
        <v>4.6</v>
      </c>
      <c r="U205" s="37" t="n">
        <f aca="false">AVERAGE(N205:O205)</f>
        <v>4.3</v>
      </c>
      <c r="V205" s="23" t="str">
        <f aca="false">IF(S205&gt;='판정 기준'!$B$3,"H","L")&amp;IF(T205&gt;='판정 기준'!$B$3,"H","L")&amp;IF(U205&gt;='판정 기준'!$B$3,"H","L")</f>
        <v>LHL</v>
      </c>
      <c r="W205" s="36" t="str">
        <f aca="false">INDEX('포지션 정의'!$A$2:$A$9,MATCH(V205,'포지션 정의'!$D$2:$D$9,0))</f>
        <v>A</v>
      </c>
      <c r="X205" s="36" t="str">
        <f aca="false">INDEX('포지션 정의'!$B$2:$B$9,MATCH(V205,'포지션 정의'!$D$2:$D$9,0))</f>
        <v>섬세한 준비형</v>
      </c>
      <c r="Y205" s="43" t="str">
        <f aca="false">IF(AJ205="","가장 높은 지표: "&amp;AP205,LEFT(AJ205,LEN(AJ205)-2))</f>
        <v>사회적 도움 활용, 자기 통제력</v>
      </c>
      <c r="Z205" s="43" t="str">
        <f aca="false">IF(MAX(AK205:AO205)=0,"심화: "&amp;IF(N205=MIN(G205,Q205,K205,N205,P205),"실수 후 회복력",IF(K205=MIN(G205,Q205,K205,N205,P205),"경기 준비 능력",IF(G205=MIN(G205,Q205,K205,N205,P205),"경기긴장도",IF(P205=MIN(G205,Q205,K205,N205,P205),"자기 통제력","사회적 도움 활용")))),IF(MAX(AK205:AO205)&gt;='판정 기준'!$B$8-'판정 기준'!$B$4,IF(AN205=MAX(AK205:AO205),"실수 후 회복력",IF(AM205=MAX(AK205:AO205),"경기 준비 능력",IF(AK205=MAX(AK205:AO205),"경기긴장도",IF(AO205=MAX(AK205:AO205),"자기 통제력","사회적 도움 활용")))),IF(AN205&gt;0,"실수 후 회복력",IF(AM205&gt;0,"경기 준비 능력",IF(AK205&gt;0,"경기긴장도",IF(AO205&gt;0,"자기 통제력","사회적 도움 활용"))))))</f>
        <v>경기 준비 능력</v>
      </c>
      <c r="AA205" s="43" t="str">
        <f aca="false">INDEX('포지션 정의'!$L$2:$L$9,MATCH(V205,'포지션 정의'!$D$2:$D$9,0))</f>
        <v>로베르트 레반도프스키 · 제임스 밀너 · 마르틴 외데고르</v>
      </c>
      <c r="AB205" s="24" t="n">
        <f aca="false">ROUND(100*(1-SQRT(((S205-'포지션 정의'!$N$2)^2+(T205-'포지션 정의'!$O$2)^2+(U205-'포지션 정의'!$P$2)^2)/3)/'판정 기준'!$B$7),0)</f>
        <v>90</v>
      </c>
      <c r="AC205" s="24" t="n">
        <f aca="false">ROUND(100*(1-SQRT(((S205-'포지션 정의'!$N$3)^2+(T205-'포지션 정의'!$O$3)^2+(U205-'포지션 정의'!$P$3)^2)/3)/'판정 기준'!$B$7),0)</f>
        <v>85</v>
      </c>
      <c r="AD205" s="24" t="n">
        <f aca="false">ROUND(100*(1-SQRT(((S205-'포지션 정의'!$N$4)^2+(T205-'포지션 정의'!$O$4)^2+(U205-'포지션 정의'!$P$4)^2)/3)/'판정 기준'!$B$7),0)</f>
        <v>84</v>
      </c>
      <c r="AE205" s="24" t="n">
        <f aca="false">ROUND(100*(1-SQRT(((S205-'포지션 정의'!$N$5)^2+(T205-'포지션 정의'!$O$5)^2+(U205-'포지션 정의'!$P$5)^2)/3)/'판정 기준'!$B$7),0)</f>
        <v>82</v>
      </c>
      <c r="AF205" s="24" t="n">
        <f aca="false">ROUND(100*(1-SQRT(((S205-'포지션 정의'!$N$6)^2+(T205-'포지션 정의'!$O$6)^2+(U205-'포지션 정의'!$P$6)^2)/3)/'판정 기준'!$B$7),0)</f>
        <v>86</v>
      </c>
      <c r="AG205" s="24" t="n">
        <f aca="false">ROUND(100*(1-SQRT(((S205-'포지션 정의'!$N$7)^2+(T205-'포지션 정의'!$O$7)^2+(U205-'포지션 정의'!$P$7)^2)/3)/'판정 기준'!$B$7),0)</f>
        <v>87</v>
      </c>
      <c r="AH205" s="24" t="n">
        <f aca="false">ROUND(100*(1-SQRT(((S205-'포지션 정의'!$N$8)^2+(T205-'포지션 정의'!$O$8)^2+(U205-'포지션 정의'!$P$8)^2)/3)/'판정 기준'!$B$7),0)</f>
        <v>88</v>
      </c>
      <c r="AI205" s="24" t="n">
        <f aca="false">ROUND(100*(1-SQRT(((S205-'포지션 정의'!$N$9)^2+(T205-'포지션 정의'!$O$9)^2+(U205-'포지션 정의'!$P$9)^2)/3)/'판정 기준'!$B$7),0)</f>
        <v>83</v>
      </c>
      <c r="AJ205" s="23" t="str">
        <f aca="false">IF(G205&gt;='판정 기준'!$B$8,"경기긴장도, ","")&amp;IF(Q205&gt;='판정 기준'!$B$8,"사회적 도움 활용, ","")&amp;IF(K205&gt;='판정 기준'!$B$8,"경기 준비 능력, ","")&amp;IF(N205&gt;='판정 기준'!$B$8,"실수 후 회복력, ","")&amp;IF(P205&gt;='판정 기준'!$B$8,"자기 통제력, ","")</f>
        <v>사회적 도움 활용, 자기 통제력, </v>
      </c>
      <c r="AK205" s="23" t="n">
        <f aca="false">IF(AND(G205&lt;'판정 기준'!$B$8,OR(AJ205&lt;&gt;"",AP205&lt;&gt;"경기긴장도")),G205,0)</f>
        <v>4.1</v>
      </c>
      <c r="AL205" s="23" t="n">
        <f aca="false">IF(AND(Q205&lt;'판정 기준'!$B$8,OR(AJ205&lt;&gt;"",AP205&lt;&gt;"사회적 도움 활용")),Q205,0)</f>
        <v>0</v>
      </c>
      <c r="AM205" s="23" t="n">
        <f aca="false">IF(AND(K205&lt;'판정 기준'!$B$8,OR(AJ205&lt;&gt;"",AP205&lt;&gt;"경기 준비 능력")),K205,0)</f>
        <v>4.6</v>
      </c>
      <c r="AN205" s="23" t="n">
        <f aca="false">IF(AND(N205&lt;'판정 기준'!$B$8,OR(AJ205&lt;&gt;"",AP205&lt;&gt;"실수 후 회복력")),N205,0)</f>
        <v>4.1</v>
      </c>
      <c r="AO205" s="23" t="n">
        <f aca="false">IF(AND(P205&lt;'판정 기준'!$B$8,OR(AJ205&lt;&gt;"",AP205&lt;&gt;"자기 통제력")),P205,0)</f>
        <v>0</v>
      </c>
      <c r="AP205" s="23" t="str">
        <f aca="false">IF(Q205=MAX(G205,Q205,K205,N205,P205),"사회적 도움 활용",IF(P205=MAX(G205,Q205,K205,N205,P205),"자기 통제력",IF(G205=MAX(G205,Q205,K205,N205,P205),"경기긴장도",IF(K205=MAX(G205,Q205,K205,N205,P205),"경기 준비 능력","실수 후 회복력"))))</f>
        <v>자기 통제력</v>
      </c>
    </row>
    <row r="206" customFormat="false" ht="17.15" hidden="false" customHeight="false" outlineLevel="0" collapsed="false">
      <c r="A206" s="13" t="s">
        <v>425</v>
      </c>
      <c r="B206" s="13" t="s">
        <v>187</v>
      </c>
      <c r="C206" s="13" t="s">
        <v>188</v>
      </c>
      <c r="D206" s="14" t="n">
        <v>46127</v>
      </c>
      <c r="E206" s="41" t="s">
        <v>193</v>
      </c>
      <c r="F206" s="42" t="n">
        <v>4.4</v>
      </c>
      <c r="G206" s="42" t="n">
        <v>4.3</v>
      </c>
      <c r="H206" s="42" t="n">
        <v>4.7</v>
      </c>
      <c r="I206" s="42" t="n">
        <v>4.6</v>
      </c>
      <c r="J206" s="42" t="n">
        <v>4.2</v>
      </c>
      <c r="K206" s="42" t="n">
        <v>4.8</v>
      </c>
      <c r="L206" s="42" t="n">
        <v>5</v>
      </c>
      <c r="M206" s="42" t="n">
        <v>4.8</v>
      </c>
      <c r="N206" s="42" t="n">
        <v>3.6</v>
      </c>
      <c r="O206" s="42" t="n">
        <v>3.3</v>
      </c>
      <c r="P206" s="42" t="n">
        <v>5.2</v>
      </c>
      <c r="Q206" s="42" t="n">
        <v>5.4</v>
      </c>
      <c r="R206" s="42" t="n">
        <v>6</v>
      </c>
      <c r="S206" s="37" t="n">
        <f aca="false">AVERAGE(G206:J206)</f>
        <v>4.45</v>
      </c>
      <c r="T206" s="37" t="n">
        <f aca="false">AVERAGE(K206:M206)</f>
        <v>4.86666666666667</v>
      </c>
      <c r="U206" s="37" t="n">
        <f aca="false">AVERAGE(N206:O206)</f>
        <v>3.45</v>
      </c>
      <c r="V206" s="23" t="str">
        <f aca="false">IF(S206&gt;='판정 기준'!$B$3,"H","L")&amp;IF(T206&gt;='판정 기준'!$B$3,"H","L")&amp;IF(U206&gt;='판정 기준'!$B$3,"H","L")</f>
        <v>LHL</v>
      </c>
      <c r="W206" s="36" t="str">
        <f aca="false">INDEX('포지션 정의'!$A$2:$A$9,MATCH(V206,'포지션 정의'!$D$2:$D$9,0))</f>
        <v>A</v>
      </c>
      <c r="X206" s="36" t="str">
        <f aca="false">INDEX('포지션 정의'!$B$2:$B$9,MATCH(V206,'포지션 정의'!$D$2:$D$9,0))</f>
        <v>섬세한 준비형</v>
      </c>
      <c r="Y206" s="43" t="str">
        <f aca="false">IF(AJ206="","가장 높은 지표: "&amp;AP206,LEFT(AJ206,LEN(AJ206)-2))</f>
        <v>사회적 도움 활용, 경기 준비 능력, 자기 통제력</v>
      </c>
      <c r="Z206" s="43" t="str">
        <f aca="false">IF(MAX(AK206:AO206)=0,"심화: "&amp;IF(N206=MIN(G206,Q206,K206,N206,P206),"실수 후 회복력",IF(K206=MIN(G206,Q206,K206,N206,P206),"경기 준비 능력",IF(G206=MIN(G206,Q206,K206,N206,P206),"경기긴장도",IF(P206=MIN(G206,Q206,K206,N206,P206),"자기 통제력","사회적 도움 활용")))),IF(MAX(AK206:AO206)&gt;='판정 기준'!$B$8-'판정 기준'!$B$4,IF(AN206=MAX(AK206:AO206),"실수 후 회복력",IF(AM206=MAX(AK206:AO206),"경기 준비 능력",IF(AK206=MAX(AK206:AO206),"경기긴장도",IF(AO206=MAX(AK206:AO206),"자기 통제력","사회적 도움 활용")))),IF(AN206&gt;0,"실수 후 회복력",IF(AM206&gt;0,"경기 준비 능력",IF(AK206&gt;0,"경기긴장도",IF(AO206&gt;0,"자기 통제력","사회적 도움 활용"))))))</f>
        <v>실수 후 회복력</v>
      </c>
      <c r="AA206" s="43" t="str">
        <f aca="false">INDEX('포지션 정의'!$L$2:$L$9,MATCH(V206,'포지션 정의'!$D$2:$D$9,0))</f>
        <v>로베르트 레반도프스키 · 제임스 밀너 · 마르틴 외데고르</v>
      </c>
      <c r="AB206" s="24" t="n">
        <f aca="false">ROUND(100*(1-SQRT(((S206-'포지션 정의'!$N$2)^2+(T206-'포지션 정의'!$O$2)^2+(U206-'포지션 정의'!$P$2)^2)/3)/'판정 기준'!$B$7),0)</f>
        <v>91</v>
      </c>
      <c r="AC206" s="24" t="n">
        <f aca="false">ROUND(100*(1-SQRT(((S206-'포지션 정의'!$N$3)^2+(T206-'포지션 정의'!$O$3)^2+(U206-'포지션 정의'!$P$3)^2)/3)/'판정 기준'!$B$7),0)</f>
        <v>90</v>
      </c>
      <c r="AD206" s="24" t="n">
        <f aca="false">ROUND(100*(1-SQRT(((S206-'포지션 정의'!$N$4)^2+(T206-'포지션 정의'!$O$4)^2+(U206-'포지션 정의'!$P$4)^2)/3)/'판정 기준'!$B$7),0)</f>
        <v>84</v>
      </c>
      <c r="AE206" s="24" t="n">
        <f aca="false">ROUND(100*(1-SQRT(((S206-'포지션 정의'!$N$5)^2+(T206-'포지션 정의'!$O$5)^2+(U206-'포지션 정의'!$P$5)^2)/3)/'판정 기준'!$B$7),0)</f>
        <v>75</v>
      </c>
      <c r="AF206" s="24" t="n">
        <f aca="false">ROUND(100*(1-SQRT(((S206-'포지션 정의'!$N$6)^2+(T206-'포지션 정의'!$O$6)^2+(U206-'포지션 정의'!$P$6)^2)/3)/'판정 기준'!$B$7),0)</f>
        <v>75</v>
      </c>
      <c r="AG206" s="24" t="n">
        <f aca="false">ROUND(100*(1-SQRT(((S206-'포지션 정의'!$N$7)^2+(T206-'포지션 정의'!$O$7)^2+(U206-'포지션 정의'!$P$7)^2)/3)/'판정 기준'!$B$7),0)</f>
        <v>78</v>
      </c>
      <c r="AH206" s="24" t="n">
        <f aca="false">ROUND(100*(1-SQRT(((S206-'포지션 정의'!$N$8)^2+(T206-'포지션 정의'!$O$8)^2+(U206-'포지션 정의'!$P$8)^2)/3)/'판정 기준'!$B$7),0)</f>
        <v>85</v>
      </c>
      <c r="AI206" s="24" t="n">
        <f aca="false">ROUND(100*(1-SQRT(((S206-'포지션 정의'!$N$9)^2+(T206-'포지션 정의'!$O$9)^2+(U206-'포지션 정의'!$P$9)^2)/3)/'판정 기준'!$B$7),0)</f>
        <v>78</v>
      </c>
      <c r="AJ206" s="23" t="str">
        <f aca="false">IF(G206&gt;='판정 기준'!$B$8,"경기긴장도, ","")&amp;IF(Q206&gt;='판정 기준'!$B$8,"사회적 도움 활용, ","")&amp;IF(K206&gt;='판정 기준'!$B$8,"경기 준비 능력, ","")&amp;IF(N206&gt;='판정 기준'!$B$8,"실수 후 회복력, ","")&amp;IF(P206&gt;='판정 기준'!$B$8,"자기 통제력, ","")</f>
        <v>사회적 도움 활용, 경기 준비 능력, 자기 통제력, </v>
      </c>
      <c r="AK206" s="23" t="n">
        <f aca="false">IF(AND(G206&lt;'판정 기준'!$B$8,OR(AJ206&lt;&gt;"",AP206&lt;&gt;"경기긴장도")),G206,0)</f>
        <v>4.3</v>
      </c>
      <c r="AL206" s="23" t="n">
        <f aca="false">IF(AND(Q206&lt;'판정 기준'!$B$8,OR(AJ206&lt;&gt;"",AP206&lt;&gt;"사회적 도움 활용")),Q206,0)</f>
        <v>0</v>
      </c>
      <c r="AM206" s="23" t="n">
        <f aca="false">IF(AND(K206&lt;'판정 기준'!$B$8,OR(AJ206&lt;&gt;"",AP206&lt;&gt;"경기 준비 능력")),K206,0)</f>
        <v>0</v>
      </c>
      <c r="AN206" s="23" t="n">
        <f aca="false">IF(AND(N206&lt;'판정 기준'!$B$8,OR(AJ206&lt;&gt;"",AP206&lt;&gt;"실수 후 회복력")),N206,0)</f>
        <v>3.6</v>
      </c>
      <c r="AO206" s="23" t="n">
        <f aca="false">IF(AND(P206&lt;'판정 기준'!$B$8,OR(AJ206&lt;&gt;"",AP206&lt;&gt;"자기 통제력")),P206,0)</f>
        <v>0</v>
      </c>
      <c r="AP206" s="23" t="str">
        <f aca="false">IF(Q206=MAX(G206,Q206,K206,N206,P206),"사회적 도움 활용",IF(P206=MAX(G206,Q206,K206,N206,P206),"자기 통제력",IF(G206=MAX(G206,Q206,K206,N206,P206),"경기긴장도",IF(K206=MAX(G206,Q206,K206,N206,P206),"경기 준비 능력","실수 후 회복력"))))</f>
        <v>사회적 도움 활용</v>
      </c>
    </row>
    <row r="207" customFormat="false" ht="17.15" hidden="false" customHeight="false" outlineLevel="0" collapsed="false">
      <c r="A207" s="13" t="s">
        <v>426</v>
      </c>
      <c r="B207" s="13" t="s">
        <v>187</v>
      </c>
      <c r="C207" s="13" t="s">
        <v>188</v>
      </c>
      <c r="D207" s="14" t="n">
        <v>46127</v>
      </c>
      <c r="E207" s="41" t="s">
        <v>195</v>
      </c>
      <c r="F207" s="42" t="n">
        <v>4.2</v>
      </c>
      <c r="G207" s="42" t="n">
        <v>3.8</v>
      </c>
      <c r="H207" s="42" t="n">
        <v>3.3</v>
      </c>
      <c r="I207" s="42" t="n">
        <v>3.4</v>
      </c>
      <c r="J207" s="42" t="n">
        <v>3.8</v>
      </c>
      <c r="K207" s="42" t="n">
        <v>4.4</v>
      </c>
      <c r="L207" s="42" t="n">
        <v>4.2</v>
      </c>
      <c r="M207" s="42" t="n">
        <v>4.6</v>
      </c>
      <c r="N207" s="42" t="n">
        <v>3.9</v>
      </c>
      <c r="O207" s="42" t="n">
        <v>3</v>
      </c>
      <c r="P207" s="42" t="n">
        <v>4.7</v>
      </c>
      <c r="Q207" s="42" t="n">
        <v>5.2</v>
      </c>
      <c r="R207" s="42" t="n">
        <v>6</v>
      </c>
      <c r="S207" s="37" t="n">
        <f aca="false">AVERAGE(G207:J207)</f>
        <v>3.575</v>
      </c>
      <c r="T207" s="37" t="n">
        <f aca="false">AVERAGE(K207:M207)</f>
        <v>4.4</v>
      </c>
      <c r="U207" s="37" t="n">
        <f aca="false">AVERAGE(N207:O207)</f>
        <v>3.45</v>
      </c>
      <c r="V207" s="23" t="str">
        <f aca="false">IF(S207&gt;='판정 기준'!$B$3,"H","L")&amp;IF(T207&gt;='판정 기준'!$B$3,"H","L")&amp;IF(U207&gt;='판정 기준'!$B$3,"H","L")</f>
        <v>LLL</v>
      </c>
      <c r="W207" s="36" t="str">
        <f aca="false">INDEX('포지션 정의'!$A$2:$A$9,MATCH(V207,'포지션 정의'!$D$2:$D$9,0))</f>
        <v>G</v>
      </c>
      <c r="X207" s="36" t="str">
        <f aca="false">INDEX('포지션 정의'!$B$2:$B$9,MATCH(V207,'포지션 정의'!$D$2:$D$9,0))</f>
        <v>스펀지 흡수형</v>
      </c>
      <c r="Y207" s="43" t="str">
        <f aca="false">IF(AJ207="","가장 높은 지표: "&amp;AP207,LEFT(AJ207,LEN(AJ207)-2))</f>
        <v>사회적 도움 활용</v>
      </c>
      <c r="Z207" s="43" t="str">
        <f aca="false">IF(MAX(AK207:AO207)=0,"심화: "&amp;IF(N207=MIN(G207,Q207,K207,N207,P207),"실수 후 회복력",IF(K207=MIN(G207,Q207,K207,N207,P207),"경기 준비 능력",IF(G207=MIN(G207,Q207,K207,N207,P207),"경기긴장도",IF(P207=MIN(G207,Q207,K207,N207,P207),"자기 통제력","사회적 도움 활용")))),IF(MAX(AK207:AO207)&gt;='판정 기준'!$B$8-'판정 기준'!$B$4,IF(AN207=MAX(AK207:AO207),"실수 후 회복력",IF(AM207=MAX(AK207:AO207),"경기 준비 능력",IF(AK207=MAX(AK207:AO207),"경기긴장도",IF(AO207=MAX(AK207:AO207),"자기 통제력","사회적 도움 활용")))),IF(AN207&gt;0,"실수 후 회복력",IF(AM207&gt;0,"경기 준비 능력",IF(AK207&gt;0,"경기긴장도",IF(AO207&gt;0,"자기 통제력","사회적 도움 활용"))))))</f>
        <v>자기 통제력</v>
      </c>
      <c r="AA207" s="43" t="str">
        <f aca="false">INDEX('포지션 정의'!$L$2:$L$9,MATCH(V207,'포지션 정의'!$D$2:$D$9,0))</f>
        <v>디디에 드로그바 · 앙투안 그리즈만 · 모하메드 살라</v>
      </c>
      <c r="AB207" s="24" t="n">
        <f aca="false">ROUND(100*(1-SQRT(((S207-'포지션 정의'!$N$2)^2+(T207-'포지션 정의'!$O$2)^2+(U207-'포지션 정의'!$P$2)^2)/3)/'판정 기준'!$B$7),0)</f>
        <v>90</v>
      </c>
      <c r="AC207" s="24" t="n">
        <f aca="false">ROUND(100*(1-SQRT(((S207-'포지션 정의'!$N$3)^2+(T207-'포지션 정의'!$O$3)^2+(U207-'포지션 정의'!$P$3)^2)/3)/'판정 기준'!$B$7),0)</f>
        <v>79</v>
      </c>
      <c r="AD207" s="24" t="n">
        <f aca="false">ROUND(100*(1-SQRT(((S207-'포지션 정의'!$N$4)^2+(T207-'포지션 정의'!$O$4)^2+(U207-'포지션 정의'!$P$4)^2)/3)/'판정 기준'!$B$7),0)</f>
        <v>80</v>
      </c>
      <c r="AE207" s="24" t="n">
        <f aca="false">ROUND(100*(1-SQRT(((S207-'포지션 정의'!$N$5)^2+(T207-'포지션 정의'!$O$5)^2+(U207-'포지션 정의'!$P$5)^2)/3)/'판정 기준'!$B$7),0)</f>
        <v>72</v>
      </c>
      <c r="AF207" s="24" t="n">
        <f aca="false">ROUND(100*(1-SQRT(((S207-'포지션 정의'!$N$6)^2+(T207-'포지션 정의'!$O$6)^2+(U207-'포지션 정의'!$P$6)^2)/3)/'판정 기준'!$B$7),0)</f>
        <v>78</v>
      </c>
      <c r="AG207" s="24" t="n">
        <f aca="false">ROUND(100*(1-SQRT(((S207-'포지션 정의'!$N$7)^2+(T207-'포지션 정의'!$O$7)^2+(U207-'포지션 정의'!$P$7)^2)/3)/'판정 기준'!$B$7),0)</f>
        <v>78</v>
      </c>
      <c r="AH207" s="24" t="n">
        <f aca="false">ROUND(100*(1-SQRT(((S207-'포지션 정의'!$N$8)^2+(T207-'포지션 정의'!$O$8)^2+(U207-'포지션 정의'!$P$8)^2)/3)/'판정 기준'!$B$7),0)</f>
        <v>92</v>
      </c>
      <c r="AI207" s="24" t="n">
        <f aca="false">ROUND(100*(1-SQRT(((S207-'포지션 정의'!$N$9)^2+(T207-'포지션 정의'!$O$9)^2+(U207-'포지션 정의'!$P$9)^2)/3)/'판정 기준'!$B$7),0)</f>
        <v>71</v>
      </c>
      <c r="AJ207" s="23" t="str">
        <f aca="false">IF(G207&gt;='판정 기준'!$B$8,"경기긴장도, ","")&amp;IF(Q207&gt;='판정 기준'!$B$8,"사회적 도움 활용, ","")&amp;IF(K207&gt;='판정 기준'!$B$8,"경기 준비 능력, ","")&amp;IF(N207&gt;='판정 기준'!$B$8,"실수 후 회복력, ","")&amp;IF(P207&gt;='판정 기준'!$B$8,"자기 통제력, ","")</f>
        <v>사회적 도움 활용, </v>
      </c>
      <c r="AK207" s="23" t="n">
        <f aca="false">IF(AND(G207&lt;'판정 기준'!$B$8,OR(AJ207&lt;&gt;"",AP207&lt;&gt;"경기긴장도")),G207,0)</f>
        <v>3.8</v>
      </c>
      <c r="AL207" s="23" t="n">
        <f aca="false">IF(AND(Q207&lt;'판정 기준'!$B$8,OR(AJ207&lt;&gt;"",AP207&lt;&gt;"사회적 도움 활용")),Q207,0)</f>
        <v>0</v>
      </c>
      <c r="AM207" s="23" t="n">
        <f aca="false">IF(AND(K207&lt;'판정 기준'!$B$8,OR(AJ207&lt;&gt;"",AP207&lt;&gt;"경기 준비 능력")),K207,0)</f>
        <v>4.4</v>
      </c>
      <c r="AN207" s="23" t="n">
        <f aca="false">IF(AND(N207&lt;'판정 기준'!$B$8,OR(AJ207&lt;&gt;"",AP207&lt;&gt;"실수 후 회복력")),N207,0)</f>
        <v>3.9</v>
      </c>
      <c r="AO207" s="23" t="n">
        <f aca="false">IF(AND(P207&lt;'판정 기준'!$B$8,OR(AJ207&lt;&gt;"",AP207&lt;&gt;"자기 통제력")),P207,0)</f>
        <v>4.7</v>
      </c>
      <c r="AP207" s="23" t="str">
        <f aca="false">IF(Q207=MAX(G207,Q207,K207,N207,P207),"사회적 도움 활용",IF(P207=MAX(G207,Q207,K207,N207,P207),"자기 통제력",IF(G207=MAX(G207,Q207,K207,N207,P207),"경기긴장도",IF(K207=MAX(G207,Q207,K207,N207,P207),"경기 준비 능력","실수 후 회복력"))))</f>
        <v>사회적 도움 활용</v>
      </c>
    </row>
    <row r="208" customFormat="false" ht="17.15" hidden="false" customHeight="false" outlineLevel="0" collapsed="false">
      <c r="A208" s="13" t="s">
        <v>427</v>
      </c>
      <c r="B208" s="13" t="s">
        <v>187</v>
      </c>
      <c r="C208" s="13" t="s">
        <v>188</v>
      </c>
      <c r="D208" s="14" t="n">
        <v>46127</v>
      </c>
      <c r="E208" s="41" t="s">
        <v>193</v>
      </c>
      <c r="F208" s="42" t="n">
        <v>4.9</v>
      </c>
      <c r="G208" s="42" t="n">
        <v>5.3</v>
      </c>
      <c r="H208" s="42" t="n">
        <v>5.3</v>
      </c>
      <c r="I208" s="42" t="n">
        <v>5.4</v>
      </c>
      <c r="J208" s="42" t="n">
        <v>5.3</v>
      </c>
      <c r="K208" s="42" t="n">
        <v>5.5</v>
      </c>
      <c r="L208" s="42" t="n">
        <v>4.8</v>
      </c>
      <c r="M208" s="42" t="n">
        <v>6</v>
      </c>
      <c r="N208" s="42" t="n">
        <v>4.4</v>
      </c>
      <c r="O208" s="42" t="n">
        <v>5.5</v>
      </c>
      <c r="P208" s="42" t="n">
        <v>4.3</v>
      </c>
      <c r="Q208" s="42" t="n">
        <v>6</v>
      </c>
      <c r="R208" s="42" t="n">
        <v>6</v>
      </c>
      <c r="S208" s="37" t="n">
        <f aca="false">AVERAGE(G208:J208)</f>
        <v>5.325</v>
      </c>
      <c r="T208" s="37" t="n">
        <f aca="false">AVERAGE(K208:M208)</f>
        <v>5.43333333333333</v>
      </c>
      <c r="U208" s="37" t="n">
        <f aca="false">AVERAGE(N208:O208)</f>
        <v>4.95</v>
      </c>
      <c r="V208" s="23" t="str">
        <f aca="false">IF(S208&gt;='판정 기준'!$B$3,"H","L")&amp;IF(T208&gt;='판정 기준'!$B$3,"H","L")&amp;IF(U208&gt;='판정 기준'!$B$3,"H","L")</f>
        <v>HHH</v>
      </c>
      <c r="W208" s="36" t="str">
        <f aca="false">INDEX('포지션 정의'!$A$2:$A$9,MATCH(V208,'포지션 정의'!$D$2:$D$9,0))</f>
        <v>H</v>
      </c>
      <c r="X208" s="36" t="str">
        <f aca="false">INDEX('포지션 정의'!$B$2:$B$9,MATCH(V208,'포지션 정의'!$D$2:$D$9,0))</f>
        <v>올라운드 밸런스형</v>
      </c>
      <c r="Y208" s="43" t="str">
        <f aca="false">IF(AJ208="","가장 높은 지표: "&amp;AP208,LEFT(AJ208,LEN(AJ208)-2))</f>
        <v>경기긴장도, 사회적 도움 활용, 경기 준비 능력</v>
      </c>
      <c r="Z208" s="43" t="str">
        <f aca="false">IF(MAX(AK208:AO208)=0,"심화: "&amp;IF(N208=MIN(G208,Q208,K208,N208,P208),"실수 후 회복력",IF(K208=MIN(G208,Q208,K208,N208,P208),"경기 준비 능력",IF(G208=MIN(G208,Q208,K208,N208,P208),"경기긴장도",IF(P208=MIN(G208,Q208,K208,N208,P208),"자기 통제력","사회적 도움 활용")))),IF(MAX(AK208:AO208)&gt;='판정 기준'!$B$8-'판정 기준'!$B$4,IF(AN208=MAX(AK208:AO208),"실수 후 회복력",IF(AM208=MAX(AK208:AO208),"경기 준비 능력",IF(AK208=MAX(AK208:AO208),"경기긴장도",IF(AO208=MAX(AK208:AO208),"자기 통제력","사회적 도움 활용")))),IF(AN208&gt;0,"실수 후 회복력",IF(AM208&gt;0,"경기 준비 능력",IF(AK208&gt;0,"경기긴장도",IF(AO208&gt;0,"자기 통제력","사회적 도움 활용"))))))</f>
        <v>실수 후 회복력</v>
      </c>
      <c r="AA208" s="43" t="str">
        <f aca="false">INDEX('포지션 정의'!$L$2:$L$9,MATCH(V208,'포지션 정의'!$D$2:$D$9,0))</f>
        <v>크리스티아누 호날두 · 루카 모드리치 · 버질 반 다이크</v>
      </c>
      <c r="AB208" s="24" t="n">
        <f aca="false">ROUND(100*(1-SQRT(((S208-'포지션 정의'!$N$2)^2+(T208-'포지션 정의'!$O$2)^2+(U208-'포지션 정의'!$P$2)^2)/3)/'판정 기준'!$B$7),0)</f>
        <v>78</v>
      </c>
      <c r="AC208" s="24" t="n">
        <f aca="false">ROUND(100*(1-SQRT(((S208-'포지션 정의'!$N$3)^2+(T208-'포지션 정의'!$O$3)^2+(U208-'포지션 정의'!$P$3)^2)/3)/'판정 기준'!$B$7),0)</f>
        <v>86</v>
      </c>
      <c r="AD208" s="24" t="n">
        <f aca="false">ROUND(100*(1-SQRT(((S208-'포지션 정의'!$N$4)^2+(T208-'포지션 정의'!$O$4)^2+(U208-'포지션 정의'!$P$4)^2)/3)/'판정 기준'!$B$7),0)</f>
        <v>77</v>
      </c>
      <c r="AE208" s="24" t="n">
        <f aca="false">ROUND(100*(1-SQRT(((S208-'포지션 정의'!$N$5)^2+(T208-'포지션 정의'!$O$5)^2+(U208-'포지션 정의'!$P$5)^2)/3)/'판정 기준'!$B$7),0)</f>
        <v>81</v>
      </c>
      <c r="AF208" s="24" t="n">
        <f aca="false">ROUND(100*(1-SQRT(((S208-'포지션 정의'!$N$6)^2+(T208-'포지션 정의'!$O$6)^2+(U208-'포지션 정의'!$P$6)^2)/3)/'판정 기준'!$B$7),0)</f>
        <v>74</v>
      </c>
      <c r="AG208" s="24" t="n">
        <f aca="false">ROUND(100*(1-SQRT(((S208-'포지션 정의'!$N$7)^2+(T208-'포지션 정의'!$O$7)^2+(U208-'포지션 정의'!$P$7)^2)/3)/'판정 기준'!$B$7),0)</f>
        <v>82</v>
      </c>
      <c r="AH208" s="24" t="n">
        <f aca="false">ROUND(100*(1-SQRT(((S208-'포지션 정의'!$N$8)^2+(T208-'포지션 정의'!$O$8)^2+(U208-'포지션 정의'!$P$8)^2)/3)/'판정 기준'!$B$7),0)</f>
        <v>71</v>
      </c>
      <c r="AI208" s="24" t="n">
        <f aca="false">ROUND(100*(1-SQRT(((S208-'포지션 정의'!$N$9)^2+(T208-'포지션 정의'!$O$9)^2+(U208-'포지션 정의'!$P$9)^2)/3)/'판정 기준'!$B$7),0)</f>
        <v>96</v>
      </c>
      <c r="AJ208" s="23" t="str">
        <f aca="false">IF(G208&gt;='판정 기준'!$B$8,"경기긴장도, ","")&amp;IF(Q208&gt;='판정 기준'!$B$8,"사회적 도움 활용, ","")&amp;IF(K208&gt;='판정 기준'!$B$8,"경기 준비 능력, ","")&amp;IF(N208&gt;='판정 기준'!$B$8,"실수 후 회복력, ","")&amp;IF(P208&gt;='판정 기준'!$B$8,"자기 통제력, ","")</f>
        <v>경기긴장도, 사회적 도움 활용, 경기 준비 능력, </v>
      </c>
      <c r="AK208" s="23" t="n">
        <f aca="false">IF(AND(G208&lt;'판정 기준'!$B$8,OR(AJ208&lt;&gt;"",AP208&lt;&gt;"경기긴장도")),G208,0)</f>
        <v>0</v>
      </c>
      <c r="AL208" s="23" t="n">
        <f aca="false">IF(AND(Q208&lt;'판정 기준'!$B$8,OR(AJ208&lt;&gt;"",AP208&lt;&gt;"사회적 도움 활용")),Q208,0)</f>
        <v>0</v>
      </c>
      <c r="AM208" s="23" t="n">
        <f aca="false">IF(AND(K208&lt;'판정 기준'!$B$8,OR(AJ208&lt;&gt;"",AP208&lt;&gt;"경기 준비 능력")),K208,0)</f>
        <v>0</v>
      </c>
      <c r="AN208" s="23" t="n">
        <f aca="false">IF(AND(N208&lt;'판정 기준'!$B$8,OR(AJ208&lt;&gt;"",AP208&lt;&gt;"실수 후 회복력")),N208,0)</f>
        <v>4.4</v>
      </c>
      <c r="AO208" s="23" t="n">
        <f aca="false">IF(AND(P208&lt;'판정 기준'!$B$8,OR(AJ208&lt;&gt;"",AP208&lt;&gt;"자기 통제력")),P208,0)</f>
        <v>4.3</v>
      </c>
      <c r="AP208" s="23" t="str">
        <f aca="false">IF(Q208=MAX(G208,Q208,K208,N208,P208),"사회적 도움 활용",IF(P208=MAX(G208,Q208,K208,N208,P208),"자기 통제력",IF(G208=MAX(G208,Q208,K208,N208,P208),"경기긴장도",IF(K208=MAX(G208,Q208,K208,N208,P208),"경기 준비 능력","실수 후 회복력"))))</f>
        <v>사회적 도움 활용</v>
      </c>
    </row>
    <row r="209" customFormat="false" ht="17.15" hidden="false" customHeight="false" outlineLevel="0" collapsed="false">
      <c r="A209" s="13" t="s">
        <v>208</v>
      </c>
      <c r="B209" s="13" t="s">
        <v>187</v>
      </c>
      <c r="C209" s="13" t="s">
        <v>188</v>
      </c>
      <c r="D209" s="14" t="n">
        <v>46127</v>
      </c>
      <c r="E209" s="41" t="s">
        <v>198</v>
      </c>
      <c r="F209" s="42" t="n">
        <v>3.4</v>
      </c>
      <c r="G209" s="42" t="n">
        <v>2.8</v>
      </c>
      <c r="H209" s="42" t="n">
        <v>3</v>
      </c>
      <c r="I209" s="42" t="n">
        <v>3</v>
      </c>
      <c r="J209" s="42" t="n">
        <v>2.5</v>
      </c>
      <c r="K209" s="42" t="n">
        <v>4.5</v>
      </c>
      <c r="L209" s="42" t="n">
        <v>4.2</v>
      </c>
      <c r="M209" s="42" t="n">
        <v>4.7</v>
      </c>
      <c r="N209" s="42" t="n">
        <v>2.3</v>
      </c>
      <c r="O209" s="42" t="n">
        <v>3</v>
      </c>
      <c r="P209" s="42" t="n">
        <v>4.2</v>
      </c>
      <c r="Q209" s="42" t="n">
        <v>3.2</v>
      </c>
      <c r="R209" s="42" t="n">
        <v>5.3</v>
      </c>
      <c r="S209" s="37" t="n">
        <f aca="false">AVERAGE(G209:J209)</f>
        <v>2.825</v>
      </c>
      <c r="T209" s="37" t="n">
        <f aca="false">AVERAGE(K209:M209)</f>
        <v>4.46666666666667</v>
      </c>
      <c r="U209" s="37" t="n">
        <f aca="false">AVERAGE(N209:O209)</f>
        <v>2.65</v>
      </c>
      <c r="V209" s="23" t="str">
        <f aca="false">IF(S209&gt;='판정 기준'!$B$3,"H","L")&amp;IF(T209&gt;='판정 기준'!$B$3,"H","L")&amp;IF(U209&gt;='판정 기준'!$B$3,"H","L")</f>
        <v>LLL</v>
      </c>
      <c r="W209" s="36" t="str">
        <f aca="false">INDEX('포지션 정의'!$A$2:$A$9,MATCH(V209,'포지션 정의'!$D$2:$D$9,0))</f>
        <v>G</v>
      </c>
      <c r="X209" s="36" t="str">
        <f aca="false">INDEX('포지션 정의'!$B$2:$B$9,MATCH(V209,'포지션 정의'!$D$2:$D$9,0))</f>
        <v>스펀지 흡수형</v>
      </c>
      <c r="Y209" s="43" t="str">
        <f aca="false">IF(AJ209="","가장 높은 지표: "&amp;AP209,LEFT(AJ209,LEN(AJ209)-2))</f>
        <v>가장 높은 지표: 경기 준비 능력</v>
      </c>
      <c r="Z209" s="43" t="str">
        <f aca="false">IF(MAX(AK209:AO209)=0,"심화: "&amp;IF(N209=MIN(G209,Q209,K209,N209,P209),"실수 후 회복력",IF(K209=MIN(G209,Q209,K209,N209,P209),"경기 준비 능력",IF(G209=MIN(G209,Q209,K209,N209,P209),"경기긴장도",IF(P209=MIN(G209,Q209,K209,N209,P209),"자기 통제력","사회적 도움 활용")))),IF(MAX(AK209:AO209)&gt;='판정 기준'!$B$8-'판정 기준'!$B$4,IF(AN209=MAX(AK209:AO209),"실수 후 회복력",IF(AM209=MAX(AK209:AO209),"경기 준비 능력",IF(AK209=MAX(AK209:AO209),"경기긴장도",IF(AO209=MAX(AK209:AO209),"자기 통제력","사회적 도움 활용")))),IF(AN209&gt;0,"실수 후 회복력",IF(AM209&gt;0,"경기 준비 능력",IF(AK209&gt;0,"경기긴장도",IF(AO209&gt;0,"자기 통제력","사회적 도움 활용"))))))</f>
        <v>실수 후 회복력</v>
      </c>
      <c r="AA209" s="43" t="str">
        <f aca="false">INDEX('포지션 정의'!$L$2:$L$9,MATCH(V209,'포지션 정의'!$D$2:$D$9,0))</f>
        <v>디디에 드로그바 · 앙투안 그리즈만 · 모하메드 살라</v>
      </c>
      <c r="AB209" s="24" t="n">
        <f aca="false">ROUND(100*(1-SQRT(((S209-'포지션 정의'!$N$2)^2+(T209-'포지션 정의'!$O$2)^2+(U209-'포지션 정의'!$P$2)^2)/3)/'판정 기준'!$B$7),0)</f>
        <v>81</v>
      </c>
      <c r="AC209" s="24" t="n">
        <f aca="false">ROUND(100*(1-SQRT(((S209-'포지션 정의'!$N$3)^2+(T209-'포지션 정의'!$O$3)^2+(U209-'포지션 정의'!$P$3)^2)/3)/'판정 기준'!$B$7),0)</f>
        <v>68</v>
      </c>
      <c r="AD209" s="24" t="n">
        <f aca="false">ROUND(100*(1-SQRT(((S209-'포지션 정의'!$N$4)^2+(T209-'포지션 정의'!$O$4)^2+(U209-'포지션 정의'!$P$4)^2)/3)/'판정 기준'!$B$7),0)</f>
        <v>69</v>
      </c>
      <c r="AE209" s="24" t="n">
        <f aca="false">ROUND(100*(1-SQRT(((S209-'포지션 정의'!$N$5)^2+(T209-'포지션 정의'!$O$5)^2+(U209-'포지션 정의'!$P$5)^2)/3)/'판정 기준'!$B$7),0)</f>
        <v>59</v>
      </c>
      <c r="AF209" s="24" t="n">
        <f aca="false">ROUND(100*(1-SQRT(((S209-'포지션 정의'!$N$6)^2+(T209-'포지션 정의'!$O$6)^2+(U209-'포지션 정의'!$P$6)^2)/3)/'판정 기준'!$B$7),0)</f>
        <v>68</v>
      </c>
      <c r="AG209" s="24" t="n">
        <f aca="false">ROUND(100*(1-SQRT(((S209-'포지션 정의'!$N$7)^2+(T209-'포지션 정의'!$O$7)^2+(U209-'포지션 정의'!$P$7)^2)/3)/'판정 기준'!$B$7),0)</f>
        <v>67</v>
      </c>
      <c r="AH209" s="24" t="n">
        <f aca="false">ROUND(100*(1-SQRT(((S209-'포지션 정의'!$N$8)^2+(T209-'포지션 정의'!$O$8)^2+(U209-'포지션 정의'!$P$8)^2)/3)/'판정 기준'!$B$7),0)</f>
        <v>81</v>
      </c>
      <c r="AI209" s="24" t="n">
        <f aca="false">ROUND(100*(1-SQRT(((S209-'포지션 정의'!$N$9)^2+(T209-'포지션 정의'!$O$9)^2+(U209-'포지션 정의'!$P$9)^2)/3)/'판정 기준'!$B$7),0)</f>
        <v>59</v>
      </c>
      <c r="AJ209" s="23" t="str">
        <f aca="false">IF(G209&gt;='판정 기준'!$B$8,"경기긴장도, ","")&amp;IF(Q209&gt;='판정 기준'!$B$8,"사회적 도움 활용, ","")&amp;IF(K209&gt;='판정 기준'!$B$8,"경기 준비 능력, ","")&amp;IF(N209&gt;='판정 기준'!$B$8,"실수 후 회복력, ","")&amp;IF(P209&gt;='판정 기준'!$B$8,"자기 통제력, ","")</f>
        <v/>
      </c>
      <c r="AK209" s="23" t="n">
        <f aca="false">IF(AND(G209&lt;'판정 기준'!$B$8,OR(AJ209&lt;&gt;"",AP209&lt;&gt;"경기긴장도")),G209,0)</f>
        <v>2.8</v>
      </c>
      <c r="AL209" s="23" t="n">
        <f aca="false">IF(AND(Q209&lt;'판정 기준'!$B$8,OR(AJ209&lt;&gt;"",AP209&lt;&gt;"사회적 도움 활용")),Q209,0)</f>
        <v>3.2</v>
      </c>
      <c r="AM209" s="23" t="n">
        <f aca="false">IF(AND(K209&lt;'판정 기준'!$B$8,OR(AJ209&lt;&gt;"",AP209&lt;&gt;"경기 준비 능력")),K209,0)</f>
        <v>0</v>
      </c>
      <c r="AN209" s="23" t="n">
        <f aca="false">IF(AND(N209&lt;'판정 기준'!$B$8,OR(AJ209&lt;&gt;"",AP209&lt;&gt;"실수 후 회복력")),N209,0)</f>
        <v>2.3</v>
      </c>
      <c r="AO209" s="23" t="n">
        <f aca="false">IF(AND(P209&lt;'판정 기준'!$B$8,OR(AJ209&lt;&gt;"",AP209&lt;&gt;"자기 통제력")),P209,0)</f>
        <v>4.2</v>
      </c>
      <c r="AP209" s="23" t="str">
        <f aca="false">IF(Q209=MAX(G209,Q209,K209,N209,P209),"사회적 도움 활용",IF(P209=MAX(G209,Q209,K209,N209,P209),"자기 통제력",IF(G209=MAX(G209,Q209,K209,N209,P209),"경기긴장도",IF(K209=MAX(G209,Q209,K209,N209,P209),"경기 준비 능력","실수 후 회복력"))))</f>
        <v>경기 준비 능력</v>
      </c>
    </row>
    <row r="210" customFormat="false" ht="17.15" hidden="false" customHeight="false" outlineLevel="0" collapsed="false">
      <c r="A210" s="13" t="s">
        <v>428</v>
      </c>
      <c r="B210" s="13" t="s">
        <v>187</v>
      </c>
      <c r="C210" s="13" t="s">
        <v>188</v>
      </c>
      <c r="D210" s="14" t="n">
        <v>46263</v>
      </c>
      <c r="E210" s="41" t="s">
        <v>195</v>
      </c>
      <c r="F210" s="42" t="n">
        <v>4.5</v>
      </c>
      <c r="G210" s="42" t="n">
        <v>4.7</v>
      </c>
      <c r="H210" s="42" t="n">
        <v>4.7</v>
      </c>
      <c r="I210" s="42" t="n">
        <v>5.4</v>
      </c>
      <c r="J210" s="42" t="n">
        <v>4.2</v>
      </c>
      <c r="K210" s="42" t="n">
        <v>3.2</v>
      </c>
      <c r="L210" s="42" t="n">
        <v>3</v>
      </c>
      <c r="M210" s="42" t="n">
        <v>3.4</v>
      </c>
      <c r="N210" s="42" t="n">
        <v>5.1</v>
      </c>
      <c r="O210" s="42" t="n">
        <v>5</v>
      </c>
      <c r="P210" s="42" t="n">
        <v>4.8</v>
      </c>
      <c r="Q210" s="42" t="n">
        <v>5.6</v>
      </c>
      <c r="R210" s="42" t="n">
        <v>5</v>
      </c>
      <c r="S210" s="37" t="n">
        <f aca="false">AVERAGE(G210:J210)</f>
        <v>4.75</v>
      </c>
      <c r="T210" s="37" t="n">
        <f aca="false">AVERAGE(K210:M210)</f>
        <v>3.2</v>
      </c>
      <c r="U210" s="37" t="n">
        <f aca="false">AVERAGE(N210:O210)</f>
        <v>5.05</v>
      </c>
      <c r="V210" s="23" t="str">
        <f aca="false">IF(S210&gt;='판정 기준'!$B$3,"H","L")&amp;IF(T210&gt;='판정 기준'!$B$3,"H","L")&amp;IF(U210&gt;='판정 기준'!$B$3,"H","L")</f>
        <v>HLH</v>
      </c>
      <c r="W210" s="36" t="str">
        <f aca="false">INDEX('포지션 정의'!$A$2:$A$9,MATCH(V210,'포지션 정의'!$D$2:$D$9,0))</f>
        <v>D</v>
      </c>
      <c r="X210" s="36" t="str">
        <f aca="false">INDEX('포지션 정의'!$B$2:$B$9,MATCH(V210,'포지션 정의'!$D$2:$D$9,0))</f>
        <v>실전 승부사형</v>
      </c>
      <c r="Y210" s="43" t="str">
        <f aca="false">IF(AJ210="","가장 높은 지표: "&amp;AP210,LEFT(AJ210,LEN(AJ210)-2))</f>
        <v>사회적 도움 활용, 실수 후 회복력, 자기 통제력</v>
      </c>
      <c r="Z210" s="43" t="str">
        <f aca="false">IF(MAX(AK210:AO210)=0,"심화: "&amp;IF(N210=MIN(G210,Q210,K210,N210,P210),"실수 후 회복력",IF(K210=MIN(G210,Q210,K210,N210,P210),"경기 준비 능력",IF(G210=MIN(G210,Q210,K210,N210,P210),"경기긴장도",IF(P210=MIN(G210,Q210,K210,N210,P210),"자기 통제력","사회적 도움 활용")))),IF(MAX(AK210:AO210)&gt;='판정 기준'!$B$8-'판정 기준'!$B$4,IF(AN210=MAX(AK210:AO210),"실수 후 회복력",IF(AM210=MAX(AK210:AO210),"경기 준비 능력",IF(AK210=MAX(AK210:AO210),"경기긴장도",IF(AO210=MAX(AK210:AO210),"자기 통제력","사회적 도움 활용")))),IF(AN210&gt;0,"실수 후 회복력",IF(AM210&gt;0,"경기 준비 능력",IF(AK210&gt;0,"경기긴장도",IF(AO210&gt;0,"자기 통제력","사회적 도움 활용"))))))</f>
        <v>경기긴장도</v>
      </c>
      <c r="AA210" s="43" t="str">
        <f aca="false">INDEX('포지션 정의'!$L$2:$L$9,MATCH(V210,'포지션 정의'!$D$2:$D$9,0))</f>
        <v>즐라탄 이브라히모비치 · 호나우지뉴 · 디에고 마라도나</v>
      </c>
      <c r="AB210" s="24" t="n">
        <f aca="false">ROUND(100*(1-SQRT(((S210-'포지션 정의'!$N$2)^2+(T210-'포지션 정의'!$O$2)^2+(U210-'포지션 정의'!$P$2)^2)/3)/'판정 기준'!$B$7),0)</f>
        <v>71</v>
      </c>
      <c r="AC210" s="24" t="n">
        <f aca="false">ROUND(100*(1-SQRT(((S210-'포지션 정의'!$N$3)^2+(T210-'포지션 정의'!$O$3)^2+(U210-'포지션 정의'!$P$3)^2)/3)/'판정 기준'!$B$7),0)</f>
        <v>72</v>
      </c>
      <c r="AD210" s="24" t="n">
        <f aca="false">ROUND(100*(1-SQRT(((S210-'포지션 정의'!$N$4)^2+(T210-'포지션 정의'!$O$4)^2+(U210-'포지션 정의'!$P$4)^2)/3)/'판정 기준'!$B$7),0)</f>
        <v>83</v>
      </c>
      <c r="AE210" s="24" t="n">
        <f aca="false">ROUND(100*(1-SQRT(((S210-'포지션 정의'!$N$5)^2+(T210-'포지션 정의'!$O$5)^2+(U210-'포지션 정의'!$P$5)^2)/3)/'판정 기준'!$B$7),0)</f>
        <v>91</v>
      </c>
      <c r="AF210" s="24" t="n">
        <f aca="false">ROUND(100*(1-SQRT(((S210-'포지션 정의'!$N$6)^2+(T210-'포지션 정의'!$O$6)^2+(U210-'포지션 정의'!$P$6)^2)/3)/'판정 기준'!$B$7),0)</f>
        <v>87</v>
      </c>
      <c r="AG210" s="24" t="n">
        <f aca="false">ROUND(100*(1-SQRT(((S210-'포지션 정의'!$N$7)^2+(T210-'포지션 정의'!$O$7)^2+(U210-'포지션 정의'!$P$7)^2)/3)/'판정 기준'!$B$7),0)</f>
        <v>74</v>
      </c>
      <c r="AH210" s="24" t="n">
        <f aca="false">ROUND(100*(1-SQRT(((S210-'포지션 정의'!$N$8)^2+(T210-'포지션 정의'!$O$8)^2+(U210-'포지션 정의'!$P$8)^2)/3)/'판정 기준'!$B$7),0)</f>
        <v>81</v>
      </c>
      <c r="AI210" s="24" t="n">
        <f aca="false">ROUND(100*(1-SQRT(((S210-'포지션 정의'!$N$9)^2+(T210-'포지션 정의'!$O$9)^2+(U210-'포지션 정의'!$P$9)^2)/3)/'판정 기준'!$B$7),0)</f>
        <v>76</v>
      </c>
      <c r="AJ210" s="23" t="str">
        <f aca="false">IF(G210&gt;='판정 기준'!$B$8,"경기긴장도, ","")&amp;IF(Q210&gt;='판정 기준'!$B$8,"사회적 도움 활용, ","")&amp;IF(K210&gt;='판정 기준'!$B$8,"경기 준비 능력, ","")&amp;IF(N210&gt;='판정 기준'!$B$8,"실수 후 회복력, ","")&amp;IF(P210&gt;='판정 기준'!$B$8,"자기 통제력, ","")</f>
        <v>사회적 도움 활용, 실수 후 회복력, 자기 통제력, </v>
      </c>
      <c r="AK210" s="23" t="n">
        <f aca="false">IF(AND(G210&lt;'판정 기준'!$B$8,OR(AJ210&lt;&gt;"",AP210&lt;&gt;"경기긴장도")),G210,0)</f>
        <v>4.7</v>
      </c>
      <c r="AL210" s="23" t="n">
        <f aca="false">IF(AND(Q210&lt;'판정 기준'!$B$8,OR(AJ210&lt;&gt;"",AP210&lt;&gt;"사회적 도움 활용")),Q210,0)</f>
        <v>0</v>
      </c>
      <c r="AM210" s="23" t="n">
        <f aca="false">IF(AND(K210&lt;'판정 기준'!$B$8,OR(AJ210&lt;&gt;"",AP210&lt;&gt;"경기 준비 능력")),K210,0)</f>
        <v>3.2</v>
      </c>
      <c r="AN210" s="23" t="n">
        <f aca="false">IF(AND(N210&lt;'판정 기준'!$B$8,OR(AJ210&lt;&gt;"",AP210&lt;&gt;"실수 후 회복력")),N210,0)</f>
        <v>0</v>
      </c>
      <c r="AO210" s="23" t="n">
        <f aca="false">IF(AND(P210&lt;'판정 기준'!$B$8,OR(AJ210&lt;&gt;"",AP210&lt;&gt;"자기 통제력")),P210,0)</f>
        <v>0</v>
      </c>
      <c r="AP210" s="23" t="str">
        <f aca="false">IF(Q210=MAX(G210,Q210,K210,N210,P210),"사회적 도움 활용",IF(P210=MAX(G210,Q210,K210,N210,P210),"자기 통제력",IF(G210=MAX(G210,Q210,K210,N210,P210),"경기긴장도",IF(K210=MAX(G210,Q210,K210,N210,P210),"경기 준비 능력","실수 후 회복력"))))</f>
        <v>사회적 도움 활용</v>
      </c>
    </row>
    <row r="211" customFormat="false" ht="17.15" hidden="false" customHeight="false" outlineLevel="0" collapsed="false">
      <c r="A211" s="13" t="s">
        <v>429</v>
      </c>
      <c r="B211" s="13" t="s">
        <v>187</v>
      </c>
      <c r="C211" s="13" t="s">
        <v>188</v>
      </c>
      <c r="D211" s="14" t="n">
        <v>46126</v>
      </c>
      <c r="E211" s="41" t="s">
        <v>193</v>
      </c>
      <c r="F211" s="42" t="n">
        <v>3.6</v>
      </c>
      <c r="G211" s="42" t="n">
        <v>3.3</v>
      </c>
      <c r="H211" s="42" t="n">
        <v>2.8</v>
      </c>
      <c r="I211" s="42" t="n">
        <v>3.8</v>
      </c>
      <c r="J211" s="42" t="n">
        <v>3</v>
      </c>
      <c r="K211" s="42" t="n">
        <v>4.1</v>
      </c>
      <c r="L211" s="42" t="n">
        <v>4</v>
      </c>
      <c r="M211" s="42" t="n">
        <v>4.1</v>
      </c>
      <c r="N211" s="42" t="n">
        <v>3.4</v>
      </c>
      <c r="O211" s="42" t="n">
        <v>3.2</v>
      </c>
      <c r="P211" s="42" t="n">
        <v>3.8</v>
      </c>
      <c r="Q211" s="42" t="n">
        <v>4.4</v>
      </c>
      <c r="R211" s="42" t="n">
        <v>4.7</v>
      </c>
      <c r="S211" s="37" t="n">
        <f aca="false">AVERAGE(G211:J211)</f>
        <v>3.225</v>
      </c>
      <c r="T211" s="37" t="n">
        <f aca="false">AVERAGE(K211:M211)</f>
        <v>4.06666666666667</v>
      </c>
      <c r="U211" s="37" t="n">
        <f aca="false">AVERAGE(N211:O211)</f>
        <v>3.3</v>
      </c>
      <c r="V211" s="23" t="str">
        <f aca="false">IF(S211&gt;='판정 기준'!$B$3,"H","L")&amp;IF(T211&gt;='판정 기준'!$B$3,"H","L")&amp;IF(U211&gt;='판정 기준'!$B$3,"H","L")</f>
        <v>LLL</v>
      </c>
      <c r="W211" s="36" t="str">
        <f aca="false">INDEX('포지션 정의'!$A$2:$A$9,MATCH(V211,'포지션 정의'!$D$2:$D$9,0))</f>
        <v>G</v>
      </c>
      <c r="X211" s="36" t="str">
        <f aca="false">INDEX('포지션 정의'!$B$2:$B$9,MATCH(V211,'포지션 정의'!$D$2:$D$9,0))</f>
        <v>스펀지 흡수형</v>
      </c>
      <c r="Y211" s="43" t="str">
        <f aca="false">IF(AJ211="","가장 높은 지표: "&amp;AP211,LEFT(AJ211,LEN(AJ211)-2))</f>
        <v>가장 높은 지표: 사회적 도움 활용</v>
      </c>
      <c r="Z211" s="43" t="str">
        <f aca="false">IF(MAX(AK211:AO211)=0,"심화: "&amp;IF(N211=MIN(G211,Q211,K211,N211,P211),"실수 후 회복력",IF(K211=MIN(G211,Q211,K211,N211,P211),"경기 준비 능력",IF(G211=MIN(G211,Q211,K211,N211,P211),"경기긴장도",IF(P211=MIN(G211,Q211,K211,N211,P211),"자기 통제력","사회적 도움 활용")))),IF(MAX(AK211:AO211)&gt;='판정 기준'!$B$8-'판정 기준'!$B$4,IF(AN211=MAX(AK211:AO211),"실수 후 회복력",IF(AM211=MAX(AK211:AO211),"경기 준비 능력",IF(AK211=MAX(AK211:AO211),"경기긴장도",IF(AO211=MAX(AK211:AO211),"자기 통제력","사회적 도움 활용")))),IF(AN211&gt;0,"실수 후 회복력",IF(AM211&gt;0,"경기 준비 능력",IF(AK211&gt;0,"경기긴장도",IF(AO211&gt;0,"자기 통제력","사회적 도움 활용"))))))</f>
        <v>실수 후 회복력</v>
      </c>
      <c r="AA211" s="43" t="str">
        <f aca="false">INDEX('포지션 정의'!$L$2:$L$9,MATCH(V211,'포지션 정의'!$D$2:$D$9,0))</f>
        <v>디디에 드로그바 · 앙투안 그리즈만 · 모하메드 살라</v>
      </c>
      <c r="AB211" s="24" t="n">
        <f aca="false">ROUND(100*(1-SQRT(((S211-'포지션 정의'!$N$2)^2+(T211-'포지션 정의'!$O$2)^2+(U211-'포지션 정의'!$P$2)^2)/3)/'판정 기준'!$B$7),0)</f>
        <v>84</v>
      </c>
      <c r="AC211" s="24" t="n">
        <f aca="false">ROUND(100*(1-SQRT(((S211-'포지션 정의'!$N$3)^2+(T211-'포지션 정의'!$O$3)^2+(U211-'포지션 정의'!$P$3)^2)/3)/'판정 기준'!$B$7),0)</f>
        <v>73</v>
      </c>
      <c r="AD211" s="24" t="n">
        <f aca="false">ROUND(100*(1-SQRT(((S211-'포지션 정의'!$N$4)^2+(T211-'포지션 정의'!$O$4)^2+(U211-'포지션 정의'!$P$4)^2)/3)/'판정 기준'!$B$7),0)</f>
        <v>76</v>
      </c>
      <c r="AE211" s="24" t="n">
        <f aca="false">ROUND(100*(1-SQRT(((S211-'포지션 정의'!$N$5)^2+(T211-'포지션 정의'!$O$5)^2+(U211-'포지션 정의'!$P$5)^2)/3)/'판정 기준'!$B$7),0)</f>
        <v>68</v>
      </c>
      <c r="AF211" s="24" t="n">
        <f aca="false">ROUND(100*(1-SQRT(((S211-'포지션 정의'!$N$6)^2+(T211-'포지션 정의'!$O$6)^2+(U211-'포지션 정의'!$P$6)^2)/3)/'판정 기준'!$B$7),0)</f>
        <v>77</v>
      </c>
      <c r="AG211" s="24" t="n">
        <f aca="false">ROUND(100*(1-SQRT(((S211-'포지션 정의'!$N$7)^2+(T211-'포지션 정의'!$O$7)^2+(U211-'포지션 정의'!$P$7)^2)/3)/'판정 기준'!$B$7),0)</f>
        <v>74</v>
      </c>
      <c r="AH211" s="24" t="n">
        <f aca="false">ROUND(100*(1-SQRT(((S211-'포지션 정의'!$N$8)^2+(T211-'포지션 정의'!$O$8)^2+(U211-'포지션 정의'!$P$8)^2)/3)/'판정 기준'!$B$7),0)</f>
        <v>91</v>
      </c>
      <c r="AI211" s="24" t="n">
        <f aca="false">ROUND(100*(1-SQRT(((S211-'포지션 정의'!$N$9)^2+(T211-'포지션 정의'!$O$9)^2+(U211-'포지션 정의'!$P$9)^2)/3)/'판정 기준'!$B$7),0)</f>
        <v>66</v>
      </c>
      <c r="AJ211" s="23" t="str">
        <f aca="false">IF(G211&gt;='판정 기준'!$B$8,"경기긴장도, ","")&amp;IF(Q211&gt;='판정 기준'!$B$8,"사회적 도움 활용, ","")&amp;IF(K211&gt;='판정 기준'!$B$8,"경기 준비 능력, ","")&amp;IF(N211&gt;='판정 기준'!$B$8,"실수 후 회복력, ","")&amp;IF(P211&gt;='판정 기준'!$B$8,"자기 통제력, ","")</f>
        <v/>
      </c>
      <c r="AK211" s="23" t="n">
        <f aca="false">IF(AND(G211&lt;'판정 기준'!$B$8,OR(AJ211&lt;&gt;"",AP211&lt;&gt;"경기긴장도")),G211,0)</f>
        <v>3.3</v>
      </c>
      <c r="AL211" s="23" t="n">
        <f aca="false">IF(AND(Q211&lt;'판정 기준'!$B$8,OR(AJ211&lt;&gt;"",AP211&lt;&gt;"사회적 도움 활용")),Q211,0)</f>
        <v>0</v>
      </c>
      <c r="AM211" s="23" t="n">
        <f aca="false">IF(AND(K211&lt;'판정 기준'!$B$8,OR(AJ211&lt;&gt;"",AP211&lt;&gt;"경기 준비 능력")),K211,0)</f>
        <v>4.1</v>
      </c>
      <c r="AN211" s="23" t="n">
        <f aca="false">IF(AND(N211&lt;'판정 기준'!$B$8,OR(AJ211&lt;&gt;"",AP211&lt;&gt;"실수 후 회복력")),N211,0)</f>
        <v>3.4</v>
      </c>
      <c r="AO211" s="23" t="n">
        <f aca="false">IF(AND(P211&lt;'판정 기준'!$B$8,OR(AJ211&lt;&gt;"",AP211&lt;&gt;"자기 통제력")),P211,0)</f>
        <v>3.8</v>
      </c>
      <c r="AP211" s="23" t="str">
        <f aca="false">IF(Q211=MAX(G211,Q211,K211,N211,P211),"사회적 도움 활용",IF(P211=MAX(G211,Q211,K211,N211,P211),"자기 통제력",IF(G211=MAX(G211,Q211,K211,N211,P211),"경기긴장도",IF(K211=MAX(G211,Q211,K211,N211,P211),"경기 준비 능력","실수 후 회복력"))))</f>
        <v>사회적 도움 활용</v>
      </c>
    </row>
    <row r="212" customFormat="false" ht="17.15" hidden="false" customHeight="false" outlineLevel="0" collapsed="false">
      <c r="A212" s="13" t="s">
        <v>430</v>
      </c>
      <c r="B212" s="13" t="s">
        <v>187</v>
      </c>
      <c r="C212" s="13" t="s">
        <v>188</v>
      </c>
      <c r="D212" s="14" t="n">
        <v>46126</v>
      </c>
      <c r="E212" s="41" t="s">
        <v>189</v>
      </c>
      <c r="F212" s="42" t="n">
        <v>4</v>
      </c>
      <c r="G212" s="42" t="n">
        <v>3.4</v>
      </c>
      <c r="H212" s="42" t="n">
        <v>3.2</v>
      </c>
      <c r="I212" s="42" t="n">
        <v>4</v>
      </c>
      <c r="J212" s="42" t="n">
        <v>3.8</v>
      </c>
      <c r="K212" s="42" t="n">
        <v>5.3</v>
      </c>
      <c r="L212" s="42" t="n">
        <v>5</v>
      </c>
      <c r="M212" s="42" t="n">
        <v>5.6</v>
      </c>
      <c r="N212" s="42" t="n">
        <v>3</v>
      </c>
      <c r="O212" s="42" t="n">
        <v>2.5</v>
      </c>
      <c r="P212" s="42" t="n">
        <v>4.8</v>
      </c>
      <c r="Q212" s="42" t="n">
        <v>3.4</v>
      </c>
      <c r="R212" s="42" t="n">
        <v>5.3</v>
      </c>
      <c r="S212" s="37" t="n">
        <f aca="false">AVERAGE(G212:J212)</f>
        <v>3.6</v>
      </c>
      <c r="T212" s="37" t="n">
        <f aca="false">AVERAGE(K212:M212)</f>
        <v>5.3</v>
      </c>
      <c r="U212" s="37" t="n">
        <f aca="false">AVERAGE(N212:O212)</f>
        <v>2.75</v>
      </c>
      <c r="V212" s="23" t="str">
        <f aca="false">IF(S212&gt;='판정 기준'!$B$3,"H","L")&amp;IF(T212&gt;='판정 기준'!$B$3,"H","L")&amp;IF(U212&gt;='판정 기준'!$B$3,"H","L")</f>
        <v>LHL</v>
      </c>
      <c r="W212" s="36" t="str">
        <f aca="false">INDEX('포지션 정의'!$A$2:$A$9,MATCH(V212,'포지션 정의'!$D$2:$D$9,0))</f>
        <v>A</v>
      </c>
      <c r="X212" s="36" t="str">
        <f aca="false">INDEX('포지션 정의'!$B$2:$B$9,MATCH(V212,'포지션 정의'!$D$2:$D$9,0))</f>
        <v>섬세한 준비형</v>
      </c>
      <c r="Y212" s="43" t="str">
        <f aca="false">IF(AJ212="","가장 높은 지표: "&amp;AP212,LEFT(AJ212,LEN(AJ212)-2))</f>
        <v>경기 준비 능력, 자기 통제력</v>
      </c>
      <c r="Z212" s="43" t="str">
        <f aca="false">IF(MAX(AK212:AO212)=0,"심화: "&amp;IF(N212=MIN(G212,Q212,K212,N212,P212),"실수 후 회복력",IF(K212=MIN(G212,Q212,K212,N212,P212),"경기 준비 능력",IF(G212=MIN(G212,Q212,K212,N212,P212),"경기긴장도",IF(P212=MIN(G212,Q212,K212,N212,P212),"자기 통제력","사회적 도움 활용")))),IF(MAX(AK212:AO212)&gt;='판정 기준'!$B$8-'판정 기준'!$B$4,IF(AN212=MAX(AK212:AO212),"실수 후 회복력",IF(AM212=MAX(AK212:AO212),"경기 준비 능력",IF(AK212=MAX(AK212:AO212),"경기긴장도",IF(AO212=MAX(AK212:AO212),"자기 통제력","사회적 도움 활용")))),IF(AN212&gt;0,"실수 후 회복력",IF(AM212&gt;0,"경기 준비 능력",IF(AK212&gt;0,"경기긴장도",IF(AO212&gt;0,"자기 통제력","사회적 도움 활용"))))))</f>
        <v>실수 후 회복력</v>
      </c>
      <c r="AA212" s="43" t="str">
        <f aca="false">INDEX('포지션 정의'!$L$2:$L$9,MATCH(V212,'포지션 정의'!$D$2:$D$9,0))</f>
        <v>로베르트 레반도프스키 · 제임스 밀너 · 마르틴 외데고르</v>
      </c>
      <c r="AB212" s="24" t="n">
        <f aca="false">ROUND(100*(1-SQRT(((S212-'포지션 정의'!$N$2)^2+(T212-'포지션 정의'!$O$2)^2+(U212-'포지션 정의'!$P$2)^2)/3)/'판정 기준'!$B$7),0)</f>
        <v>88</v>
      </c>
      <c r="AC212" s="24" t="n">
        <f aca="false">ROUND(100*(1-SQRT(((S212-'포지션 정의'!$N$3)^2+(T212-'포지션 정의'!$O$3)^2+(U212-'포지션 정의'!$P$3)^2)/3)/'판정 기준'!$B$7),0)</f>
        <v>78</v>
      </c>
      <c r="AD212" s="24" t="n">
        <f aca="false">ROUND(100*(1-SQRT(((S212-'포지션 정의'!$N$4)^2+(T212-'포지션 정의'!$O$4)^2+(U212-'포지션 정의'!$P$4)^2)/3)/'판정 기준'!$B$7),0)</f>
        <v>72</v>
      </c>
      <c r="AE212" s="24" t="n">
        <f aca="false">ROUND(100*(1-SQRT(((S212-'포지션 정의'!$N$5)^2+(T212-'포지션 정의'!$O$5)^2+(U212-'포지션 정의'!$P$5)^2)/3)/'판정 기준'!$B$7),0)</f>
        <v>62</v>
      </c>
      <c r="AF212" s="24" t="n">
        <f aca="false">ROUND(100*(1-SQRT(((S212-'포지션 정의'!$N$6)^2+(T212-'포지션 정의'!$O$6)^2+(U212-'포지션 정의'!$P$6)^2)/3)/'판정 기준'!$B$7),0)</f>
        <v>67</v>
      </c>
      <c r="AG212" s="24" t="n">
        <f aca="false">ROUND(100*(1-SQRT(((S212-'포지션 정의'!$N$7)^2+(T212-'포지션 정의'!$O$7)^2+(U212-'포지션 정의'!$P$7)^2)/3)/'판정 기준'!$B$7),0)</f>
        <v>72</v>
      </c>
      <c r="AH212" s="24" t="n">
        <f aca="false">ROUND(100*(1-SQRT(((S212-'포지션 정의'!$N$8)^2+(T212-'포지션 정의'!$O$8)^2+(U212-'포지션 정의'!$P$8)^2)/3)/'판정 기준'!$B$7),0)</f>
        <v>79</v>
      </c>
      <c r="AI212" s="24" t="n">
        <f aca="false">ROUND(100*(1-SQRT(((S212-'포지션 정의'!$N$9)^2+(T212-'포지션 정의'!$O$9)^2+(U212-'포지션 정의'!$P$9)^2)/3)/'판정 기준'!$B$7),0)</f>
        <v>66</v>
      </c>
      <c r="AJ212" s="23" t="str">
        <f aca="false">IF(G212&gt;='판정 기준'!$B$8,"경기긴장도, ","")&amp;IF(Q212&gt;='판정 기준'!$B$8,"사회적 도움 활용, ","")&amp;IF(K212&gt;='판정 기준'!$B$8,"경기 준비 능력, ","")&amp;IF(N212&gt;='판정 기준'!$B$8,"실수 후 회복력, ","")&amp;IF(P212&gt;='판정 기준'!$B$8,"자기 통제력, ","")</f>
        <v>경기 준비 능력, 자기 통제력, </v>
      </c>
      <c r="AK212" s="23" t="n">
        <f aca="false">IF(AND(G212&lt;'판정 기준'!$B$8,OR(AJ212&lt;&gt;"",AP212&lt;&gt;"경기긴장도")),G212,0)</f>
        <v>3.4</v>
      </c>
      <c r="AL212" s="23" t="n">
        <f aca="false">IF(AND(Q212&lt;'판정 기준'!$B$8,OR(AJ212&lt;&gt;"",AP212&lt;&gt;"사회적 도움 활용")),Q212,0)</f>
        <v>3.4</v>
      </c>
      <c r="AM212" s="23" t="n">
        <f aca="false">IF(AND(K212&lt;'판정 기준'!$B$8,OR(AJ212&lt;&gt;"",AP212&lt;&gt;"경기 준비 능력")),K212,0)</f>
        <v>0</v>
      </c>
      <c r="AN212" s="23" t="n">
        <f aca="false">IF(AND(N212&lt;'판정 기준'!$B$8,OR(AJ212&lt;&gt;"",AP212&lt;&gt;"실수 후 회복력")),N212,0)</f>
        <v>3</v>
      </c>
      <c r="AO212" s="23" t="n">
        <f aca="false">IF(AND(P212&lt;'판정 기준'!$B$8,OR(AJ212&lt;&gt;"",AP212&lt;&gt;"자기 통제력")),P212,0)</f>
        <v>0</v>
      </c>
      <c r="AP212" s="23" t="str">
        <f aca="false">IF(Q212=MAX(G212,Q212,K212,N212,P212),"사회적 도움 활용",IF(P212=MAX(G212,Q212,K212,N212,P212),"자기 통제력",IF(G212=MAX(G212,Q212,K212,N212,P212),"경기긴장도",IF(K212=MAX(G212,Q212,K212,N212,P212),"경기 준비 능력","실수 후 회복력"))))</f>
        <v>경기 준비 능력</v>
      </c>
    </row>
    <row r="213" customFormat="false" ht="17.15" hidden="false" customHeight="false" outlineLevel="0" collapsed="false">
      <c r="A213" s="13" t="s">
        <v>431</v>
      </c>
      <c r="B213" s="13" t="s">
        <v>187</v>
      </c>
      <c r="C213" s="13" t="s">
        <v>432</v>
      </c>
      <c r="D213" s="14" t="n">
        <v>46121</v>
      </c>
      <c r="E213" s="41" t="s">
        <v>189</v>
      </c>
      <c r="F213" s="42" t="n">
        <v>4.4</v>
      </c>
      <c r="G213" s="42" t="n">
        <v>4.3</v>
      </c>
      <c r="H213" s="42" t="n">
        <v>3.8</v>
      </c>
      <c r="I213" s="42" t="n">
        <v>5</v>
      </c>
      <c r="J213" s="42" t="n">
        <v>4</v>
      </c>
      <c r="K213" s="42" t="n">
        <v>4.7</v>
      </c>
      <c r="L213" s="42" t="n">
        <v>4.7</v>
      </c>
      <c r="M213" s="42" t="n">
        <v>4.7</v>
      </c>
      <c r="N213" s="42" t="n">
        <v>4.4</v>
      </c>
      <c r="O213" s="42" t="n">
        <v>4.2</v>
      </c>
      <c r="P213" s="42" t="n">
        <v>4.3</v>
      </c>
      <c r="Q213" s="42" t="n">
        <v>5</v>
      </c>
      <c r="R213" s="42" t="n">
        <v>5</v>
      </c>
      <c r="S213" s="37" t="n">
        <f aca="false">AVERAGE(G213:J213)</f>
        <v>4.275</v>
      </c>
      <c r="T213" s="37" t="n">
        <f aca="false">AVERAGE(K213:M213)</f>
        <v>4.7</v>
      </c>
      <c r="U213" s="37" t="n">
        <f aca="false">AVERAGE(N213:O213)</f>
        <v>4.3</v>
      </c>
      <c r="V213" s="23" t="str">
        <f aca="false">IF(S213&gt;='판정 기준'!$B$3,"H","L")&amp;IF(T213&gt;='판정 기준'!$B$3,"H","L")&amp;IF(U213&gt;='판정 기준'!$B$3,"H","L")</f>
        <v>LHL</v>
      </c>
      <c r="W213" s="36" t="str">
        <f aca="false">INDEX('포지션 정의'!$A$2:$A$9,MATCH(V213,'포지션 정의'!$D$2:$D$9,0))</f>
        <v>A</v>
      </c>
      <c r="X213" s="36" t="str">
        <f aca="false">INDEX('포지션 정의'!$B$2:$B$9,MATCH(V213,'포지션 정의'!$D$2:$D$9,0))</f>
        <v>섬세한 준비형</v>
      </c>
      <c r="Y213" s="43" t="str">
        <f aca="false">IF(AJ213="","가장 높은 지표: "&amp;AP213,LEFT(AJ213,LEN(AJ213)-2))</f>
        <v>사회적 도움 활용</v>
      </c>
      <c r="Z213" s="43" t="str">
        <f aca="false">IF(MAX(AK213:AO213)=0,"심화: "&amp;IF(N213=MIN(G213,Q213,K213,N213,P213),"실수 후 회복력",IF(K213=MIN(G213,Q213,K213,N213,P213),"경기 준비 능력",IF(G213=MIN(G213,Q213,K213,N213,P213),"경기긴장도",IF(P213=MIN(G213,Q213,K213,N213,P213),"자기 통제력","사회적 도움 활용")))),IF(MAX(AK213:AO213)&gt;='판정 기준'!$B$8-'판정 기준'!$B$4,IF(AN213=MAX(AK213:AO213),"실수 후 회복력",IF(AM213=MAX(AK213:AO213),"경기 준비 능력",IF(AK213=MAX(AK213:AO213),"경기긴장도",IF(AO213=MAX(AK213:AO213),"자기 통제력","사회적 도움 활용")))),IF(AN213&gt;0,"실수 후 회복력",IF(AM213&gt;0,"경기 준비 능력",IF(AK213&gt;0,"경기긴장도",IF(AO213&gt;0,"자기 통제력","사회적 도움 활용"))))))</f>
        <v>경기 준비 능력</v>
      </c>
      <c r="AA213" s="43" t="str">
        <f aca="false">INDEX('포지션 정의'!$L$2:$L$9,MATCH(V213,'포지션 정의'!$D$2:$D$9,0))</f>
        <v>로베르트 레반도프스키 · 제임스 밀너 · 마르틴 외데고르</v>
      </c>
      <c r="AB213" s="24" t="n">
        <f aca="false">ROUND(100*(1-SQRT(((S213-'포지션 정의'!$N$2)^2+(T213-'포지션 정의'!$O$2)^2+(U213-'포지션 정의'!$P$2)^2)/3)/'판정 기준'!$B$7),0)</f>
        <v>90</v>
      </c>
      <c r="AC213" s="24" t="n">
        <f aca="false">ROUND(100*(1-SQRT(((S213-'포지션 정의'!$N$3)^2+(T213-'포지션 정의'!$O$3)^2+(U213-'포지션 정의'!$P$3)^2)/3)/'판정 기준'!$B$7),0)</f>
        <v>87</v>
      </c>
      <c r="AD213" s="24" t="n">
        <f aca="false">ROUND(100*(1-SQRT(((S213-'포지션 정의'!$N$4)^2+(T213-'포지션 정의'!$O$4)^2+(U213-'포지션 정의'!$P$4)^2)/3)/'판정 기준'!$B$7),0)</f>
        <v>84</v>
      </c>
      <c r="AE213" s="24" t="n">
        <f aca="false">ROUND(100*(1-SQRT(((S213-'포지션 정의'!$N$5)^2+(T213-'포지션 정의'!$O$5)^2+(U213-'포지션 정의'!$P$5)^2)/3)/'판정 기준'!$B$7),0)</f>
        <v>82</v>
      </c>
      <c r="AF213" s="24" t="n">
        <f aca="false">ROUND(100*(1-SQRT(((S213-'포지션 정의'!$N$6)^2+(T213-'포지션 정의'!$O$6)^2+(U213-'포지션 정의'!$P$6)^2)/3)/'판정 기준'!$B$7),0)</f>
        <v>84</v>
      </c>
      <c r="AG213" s="24" t="n">
        <f aca="false">ROUND(100*(1-SQRT(((S213-'포지션 정의'!$N$7)^2+(T213-'포지션 정의'!$O$7)^2+(U213-'포지션 정의'!$P$7)^2)/3)/'판정 기준'!$B$7),0)</f>
        <v>87</v>
      </c>
      <c r="AH213" s="24" t="n">
        <f aca="false">ROUND(100*(1-SQRT(((S213-'포지션 정의'!$N$8)^2+(T213-'포지션 정의'!$O$8)^2+(U213-'포지션 정의'!$P$8)^2)/3)/'판정 기준'!$B$7),0)</f>
        <v>87</v>
      </c>
      <c r="AI213" s="24" t="n">
        <f aca="false">ROUND(100*(1-SQRT(((S213-'포지션 정의'!$N$9)^2+(T213-'포지션 정의'!$O$9)^2+(U213-'포지션 정의'!$P$9)^2)/3)/'판정 기준'!$B$7),0)</f>
        <v>84</v>
      </c>
      <c r="AJ213" s="23" t="str">
        <f aca="false">IF(G213&gt;='판정 기준'!$B$8,"경기긴장도, ","")&amp;IF(Q213&gt;='판정 기준'!$B$8,"사회적 도움 활용, ","")&amp;IF(K213&gt;='판정 기준'!$B$8,"경기 준비 능력, ","")&amp;IF(N213&gt;='판정 기준'!$B$8,"실수 후 회복력, ","")&amp;IF(P213&gt;='판정 기준'!$B$8,"자기 통제력, ","")</f>
        <v>사회적 도움 활용, </v>
      </c>
      <c r="AK213" s="23" t="n">
        <f aca="false">IF(AND(G213&lt;'판정 기준'!$B$8,OR(AJ213&lt;&gt;"",AP213&lt;&gt;"경기긴장도")),G213,0)</f>
        <v>4.3</v>
      </c>
      <c r="AL213" s="23" t="n">
        <f aca="false">IF(AND(Q213&lt;'판정 기준'!$B$8,OR(AJ213&lt;&gt;"",AP213&lt;&gt;"사회적 도움 활용")),Q213,0)</f>
        <v>0</v>
      </c>
      <c r="AM213" s="23" t="n">
        <f aca="false">IF(AND(K213&lt;'판정 기준'!$B$8,OR(AJ213&lt;&gt;"",AP213&lt;&gt;"경기 준비 능력")),K213,0)</f>
        <v>4.7</v>
      </c>
      <c r="AN213" s="23" t="n">
        <f aca="false">IF(AND(N213&lt;'판정 기준'!$B$8,OR(AJ213&lt;&gt;"",AP213&lt;&gt;"실수 후 회복력")),N213,0)</f>
        <v>4.4</v>
      </c>
      <c r="AO213" s="23" t="n">
        <f aca="false">IF(AND(P213&lt;'판정 기준'!$B$8,OR(AJ213&lt;&gt;"",AP213&lt;&gt;"자기 통제력")),P213,0)</f>
        <v>4.3</v>
      </c>
      <c r="AP213" s="23" t="str">
        <f aca="false">IF(Q213=MAX(G213,Q213,K213,N213,P213),"사회적 도움 활용",IF(P213=MAX(G213,Q213,K213,N213,P213),"자기 통제력",IF(G213=MAX(G213,Q213,K213,N213,P213),"경기긴장도",IF(K213=MAX(G213,Q213,K213,N213,P213),"경기 준비 능력","실수 후 회복력"))))</f>
        <v>사회적 도움 활용</v>
      </c>
    </row>
    <row r="214" customFormat="false" ht="17.15" hidden="false" customHeight="false" outlineLevel="0" collapsed="false">
      <c r="A214" s="13" t="s">
        <v>433</v>
      </c>
      <c r="B214" s="13" t="s">
        <v>187</v>
      </c>
      <c r="C214" s="13" t="s">
        <v>432</v>
      </c>
      <c r="D214" s="14" t="n">
        <v>46121</v>
      </c>
      <c r="E214" s="41" t="s">
        <v>193</v>
      </c>
      <c r="F214" s="42" t="n">
        <v>5</v>
      </c>
      <c r="G214" s="42" t="n">
        <v>5</v>
      </c>
      <c r="H214" s="42" t="n">
        <v>5.3</v>
      </c>
      <c r="I214" s="42" t="n">
        <v>5.4</v>
      </c>
      <c r="J214" s="42" t="n">
        <v>4.5</v>
      </c>
      <c r="K214" s="42" t="n">
        <v>5.4</v>
      </c>
      <c r="L214" s="42" t="n">
        <v>5.3</v>
      </c>
      <c r="M214" s="42" t="n">
        <v>5.4</v>
      </c>
      <c r="N214" s="42" t="n">
        <v>5.4</v>
      </c>
      <c r="O214" s="42" t="n">
        <v>5.3</v>
      </c>
      <c r="P214" s="42" t="n">
        <v>3.8</v>
      </c>
      <c r="Q214" s="42" t="n">
        <v>5.8</v>
      </c>
      <c r="R214" s="42" t="n">
        <v>6</v>
      </c>
      <c r="S214" s="37" t="n">
        <f aca="false">AVERAGE(G214:J214)</f>
        <v>5.05</v>
      </c>
      <c r="T214" s="37" t="n">
        <f aca="false">AVERAGE(K214:M214)</f>
        <v>5.36666666666667</v>
      </c>
      <c r="U214" s="37" t="n">
        <f aca="false">AVERAGE(N214:O214)</f>
        <v>5.35</v>
      </c>
      <c r="V214" s="23" t="str">
        <f aca="false">IF(S214&gt;='판정 기준'!$B$3,"H","L")&amp;IF(T214&gt;='판정 기준'!$B$3,"H","L")&amp;IF(U214&gt;='판정 기준'!$B$3,"H","L")</f>
        <v>HHH</v>
      </c>
      <c r="W214" s="36" t="str">
        <f aca="false">INDEX('포지션 정의'!$A$2:$A$9,MATCH(V214,'포지션 정의'!$D$2:$D$9,0))</f>
        <v>H</v>
      </c>
      <c r="X214" s="36" t="str">
        <f aca="false">INDEX('포지션 정의'!$B$2:$B$9,MATCH(V214,'포지션 정의'!$D$2:$D$9,0))</f>
        <v>올라운드 밸런스형</v>
      </c>
      <c r="Y214" s="43" t="str">
        <f aca="false">IF(AJ214="","가장 높은 지표: "&amp;AP214,LEFT(AJ214,LEN(AJ214)-2))</f>
        <v>경기긴장도, 사회적 도움 활용, 경기 준비 능력, 실수 후 회복력</v>
      </c>
      <c r="Z214" s="43" t="str">
        <f aca="false">IF(MAX(AK214:AO214)=0,"심화: "&amp;IF(N214=MIN(G214,Q214,K214,N214,P214),"실수 후 회복력",IF(K214=MIN(G214,Q214,K214,N214,P214),"경기 준비 능력",IF(G214=MIN(G214,Q214,K214,N214,P214),"경기긴장도",IF(P214=MIN(G214,Q214,K214,N214,P214),"자기 통제력","사회적 도움 활용")))),IF(MAX(AK214:AO214)&gt;='판정 기준'!$B$8-'판정 기준'!$B$4,IF(AN214=MAX(AK214:AO214),"실수 후 회복력",IF(AM214=MAX(AK214:AO214),"경기 준비 능력",IF(AK214=MAX(AK214:AO214),"경기긴장도",IF(AO214=MAX(AK214:AO214),"자기 통제력","사회적 도움 활용")))),IF(AN214&gt;0,"실수 후 회복력",IF(AM214&gt;0,"경기 준비 능력",IF(AK214&gt;0,"경기긴장도",IF(AO214&gt;0,"자기 통제력","사회적 도움 활용"))))))</f>
        <v>자기 통제력</v>
      </c>
      <c r="AA214" s="43" t="str">
        <f aca="false">INDEX('포지션 정의'!$L$2:$L$9,MATCH(V214,'포지션 정의'!$D$2:$D$9,0))</f>
        <v>크리스티아누 호날두 · 루카 모드리치 · 버질 반 다이크</v>
      </c>
      <c r="AB214" s="24" t="n">
        <f aca="false">ROUND(100*(1-SQRT(((S214-'포지션 정의'!$N$2)^2+(T214-'포지션 정의'!$O$2)^2+(U214-'포지션 정의'!$P$2)^2)/3)/'판정 기준'!$B$7),0)</f>
        <v>77</v>
      </c>
      <c r="AC214" s="24" t="n">
        <f aca="false">ROUND(100*(1-SQRT(((S214-'포지션 정의'!$N$3)^2+(T214-'포지션 정의'!$O$3)^2+(U214-'포지션 정의'!$P$3)^2)/3)/'판정 기준'!$B$7),0)</f>
        <v>82</v>
      </c>
      <c r="AD214" s="24" t="n">
        <f aca="false">ROUND(100*(1-SQRT(((S214-'포지션 정의'!$N$4)^2+(T214-'포지션 정의'!$O$4)^2+(U214-'포지션 정의'!$P$4)^2)/3)/'판정 기준'!$B$7),0)</f>
        <v>74</v>
      </c>
      <c r="AE214" s="24" t="n">
        <f aca="false">ROUND(100*(1-SQRT(((S214-'포지션 정의'!$N$5)^2+(T214-'포지션 정의'!$O$5)^2+(U214-'포지션 정의'!$P$5)^2)/3)/'판정 기준'!$B$7),0)</f>
        <v>82</v>
      </c>
      <c r="AF214" s="24" t="n">
        <f aca="false">ROUND(100*(1-SQRT(((S214-'포지션 정의'!$N$6)^2+(T214-'포지션 정의'!$O$6)^2+(U214-'포지션 정의'!$P$6)^2)/3)/'판정 기준'!$B$7),0)</f>
        <v>77</v>
      </c>
      <c r="AG214" s="24" t="n">
        <f aca="false">ROUND(100*(1-SQRT(((S214-'포지션 정의'!$N$7)^2+(T214-'포지션 정의'!$O$7)^2+(U214-'포지션 정의'!$P$7)^2)/3)/'판정 기준'!$B$7),0)</f>
        <v>85</v>
      </c>
      <c r="AH214" s="24" t="n">
        <f aca="false">ROUND(100*(1-SQRT(((S214-'포지션 정의'!$N$8)^2+(T214-'포지션 정의'!$O$8)^2+(U214-'포지션 정의'!$P$8)^2)/3)/'판정 기준'!$B$7),0)</f>
        <v>71</v>
      </c>
      <c r="AI214" s="24" t="n">
        <f aca="false">ROUND(100*(1-SQRT(((S214-'포지션 정의'!$N$9)^2+(T214-'포지션 정의'!$O$9)^2+(U214-'포지션 정의'!$P$9)^2)/3)/'판정 기준'!$B$7),0)</f>
        <v>97</v>
      </c>
      <c r="AJ214" s="23" t="str">
        <f aca="false">IF(G214&gt;='판정 기준'!$B$8,"경기긴장도, ","")&amp;IF(Q214&gt;='판정 기준'!$B$8,"사회적 도움 활용, ","")&amp;IF(K214&gt;='판정 기준'!$B$8,"경기 준비 능력, ","")&amp;IF(N214&gt;='판정 기준'!$B$8,"실수 후 회복력, ","")&amp;IF(P214&gt;='판정 기준'!$B$8,"자기 통제력, ","")</f>
        <v>경기긴장도, 사회적 도움 활용, 경기 준비 능력, 실수 후 회복력, </v>
      </c>
      <c r="AK214" s="23" t="n">
        <f aca="false">IF(AND(G214&lt;'판정 기준'!$B$8,OR(AJ214&lt;&gt;"",AP214&lt;&gt;"경기긴장도")),G214,0)</f>
        <v>0</v>
      </c>
      <c r="AL214" s="23" t="n">
        <f aca="false">IF(AND(Q214&lt;'판정 기준'!$B$8,OR(AJ214&lt;&gt;"",AP214&lt;&gt;"사회적 도움 활용")),Q214,0)</f>
        <v>0</v>
      </c>
      <c r="AM214" s="23" t="n">
        <f aca="false">IF(AND(K214&lt;'판정 기준'!$B$8,OR(AJ214&lt;&gt;"",AP214&lt;&gt;"경기 준비 능력")),K214,0)</f>
        <v>0</v>
      </c>
      <c r="AN214" s="23" t="n">
        <f aca="false">IF(AND(N214&lt;'판정 기준'!$B$8,OR(AJ214&lt;&gt;"",AP214&lt;&gt;"실수 후 회복력")),N214,0)</f>
        <v>0</v>
      </c>
      <c r="AO214" s="23" t="n">
        <f aca="false">IF(AND(P214&lt;'판정 기준'!$B$8,OR(AJ214&lt;&gt;"",AP214&lt;&gt;"자기 통제력")),P214,0)</f>
        <v>3.8</v>
      </c>
      <c r="AP214" s="23" t="str">
        <f aca="false">IF(Q214=MAX(G214,Q214,K214,N214,P214),"사회적 도움 활용",IF(P214=MAX(G214,Q214,K214,N214,P214),"자기 통제력",IF(G214=MAX(G214,Q214,K214,N214,P214),"경기긴장도",IF(K214=MAX(G214,Q214,K214,N214,P214),"경기 준비 능력","실수 후 회복력"))))</f>
        <v>사회적 도움 활용</v>
      </c>
    </row>
    <row r="215" customFormat="false" ht="17.15" hidden="false" customHeight="false" outlineLevel="0" collapsed="false">
      <c r="A215" s="13" t="s">
        <v>434</v>
      </c>
      <c r="B215" s="13" t="s">
        <v>187</v>
      </c>
      <c r="C215" s="13" t="s">
        <v>432</v>
      </c>
      <c r="D215" s="14" t="n">
        <v>46121</v>
      </c>
      <c r="E215" s="41" t="s">
        <v>435</v>
      </c>
      <c r="F215" s="42" t="n">
        <v>3.8</v>
      </c>
      <c r="G215" s="42" t="n">
        <v>4.2</v>
      </c>
      <c r="H215" s="42" t="n">
        <v>4.2</v>
      </c>
      <c r="I215" s="42" t="n">
        <v>4.8</v>
      </c>
      <c r="J215" s="42" t="n">
        <v>4</v>
      </c>
      <c r="K215" s="42" t="n">
        <v>4.2</v>
      </c>
      <c r="L215" s="42" t="n">
        <v>4.3</v>
      </c>
      <c r="M215" s="42" t="n">
        <v>4.1</v>
      </c>
      <c r="N215" s="42" t="n">
        <v>3</v>
      </c>
      <c r="O215" s="42" t="n">
        <v>3.2</v>
      </c>
      <c r="P215" s="42" t="n">
        <v>4</v>
      </c>
      <c r="Q215" s="42" t="n">
        <v>4.8</v>
      </c>
      <c r="R215" s="42" t="n">
        <v>4.3</v>
      </c>
      <c r="S215" s="37" t="n">
        <f aca="false">AVERAGE(G215:J215)</f>
        <v>4.3</v>
      </c>
      <c r="T215" s="37" t="n">
        <f aca="false">AVERAGE(K215:M215)</f>
        <v>4.2</v>
      </c>
      <c r="U215" s="37" t="n">
        <f aca="false">AVERAGE(N215:O215)</f>
        <v>3.1</v>
      </c>
      <c r="V215" s="23" t="str">
        <f aca="false">IF(S215&gt;='판정 기준'!$B$3,"H","L")&amp;IF(T215&gt;='판정 기준'!$B$3,"H","L")&amp;IF(U215&gt;='판정 기준'!$B$3,"H","L")</f>
        <v>LLL</v>
      </c>
      <c r="W215" s="36" t="str">
        <f aca="false">INDEX('포지션 정의'!$A$2:$A$9,MATCH(V215,'포지션 정의'!$D$2:$D$9,0))</f>
        <v>G</v>
      </c>
      <c r="X215" s="36" t="str">
        <f aca="false">INDEX('포지션 정의'!$B$2:$B$9,MATCH(V215,'포지션 정의'!$D$2:$D$9,0))</f>
        <v>스펀지 흡수형</v>
      </c>
      <c r="Y215" s="43" t="str">
        <f aca="false">IF(AJ215="","가장 높은 지표: "&amp;AP215,LEFT(AJ215,LEN(AJ215)-2))</f>
        <v>사회적 도움 활용</v>
      </c>
      <c r="Z215" s="43" t="str">
        <f aca="false">IF(MAX(AK215:AO215)=0,"심화: "&amp;IF(N215=MIN(G215,Q215,K215,N215,P215),"실수 후 회복력",IF(K215=MIN(G215,Q215,K215,N215,P215),"경기 준비 능력",IF(G215=MIN(G215,Q215,K215,N215,P215),"경기긴장도",IF(P215=MIN(G215,Q215,K215,N215,P215),"자기 통제력","사회적 도움 활용")))),IF(MAX(AK215:AO215)&gt;='판정 기준'!$B$8-'판정 기준'!$B$4,IF(AN215=MAX(AK215:AO215),"실수 후 회복력",IF(AM215=MAX(AK215:AO215),"경기 준비 능력",IF(AK215=MAX(AK215:AO215),"경기긴장도",IF(AO215=MAX(AK215:AO215),"자기 통제력","사회적 도움 활용")))),IF(AN215&gt;0,"실수 후 회복력",IF(AM215&gt;0,"경기 준비 능력",IF(AK215&gt;0,"경기긴장도",IF(AO215&gt;0,"자기 통제력","사회적 도움 활용"))))))</f>
        <v>실수 후 회복력</v>
      </c>
      <c r="AA215" s="43" t="str">
        <f aca="false">INDEX('포지션 정의'!$L$2:$L$9,MATCH(V215,'포지션 정의'!$D$2:$D$9,0))</f>
        <v>디디에 드로그바 · 앙투안 그리즈만 · 모하메드 살라</v>
      </c>
      <c r="AB215" s="24" t="n">
        <f aca="false">ROUND(100*(1-SQRT(((S215-'포지션 정의'!$N$2)^2+(T215-'포지션 정의'!$O$2)^2+(U215-'포지션 정의'!$P$2)^2)/3)/'판정 기준'!$B$7),0)</f>
        <v>85</v>
      </c>
      <c r="AC215" s="24" t="n">
        <f aca="false">ROUND(100*(1-SQRT(((S215-'포지션 정의'!$N$3)^2+(T215-'포지션 정의'!$O$3)^2+(U215-'포지션 정의'!$P$3)^2)/3)/'판정 기준'!$B$7),0)</f>
        <v>82</v>
      </c>
      <c r="AD215" s="24" t="n">
        <f aca="false">ROUND(100*(1-SQRT(((S215-'포지션 정의'!$N$4)^2+(T215-'포지션 정의'!$O$4)^2+(U215-'포지션 정의'!$P$4)^2)/3)/'판정 기준'!$B$7),0)</f>
        <v>86</v>
      </c>
      <c r="AE215" s="24" t="n">
        <f aca="false">ROUND(100*(1-SQRT(((S215-'포지션 정의'!$N$5)^2+(T215-'포지션 정의'!$O$5)^2+(U215-'포지션 정의'!$P$5)^2)/3)/'판정 기준'!$B$7),0)</f>
        <v>73</v>
      </c>
      <c r="AF215" s="24" t="n">
        <f aca="false">ROUND(100*(1-SQRT(((S215-'포지션 정의'!$N$6)^2+(T215-'포지션 정의'!$O$6)^2+(U215-'포지션 정의'!$P$6)^2)/3)/'판정 기준'!$B$7),0)</f>
        <v>75</v>
      </c>
      <c r="AG215" s="24" t="n">
        <f aca="false">ROUND(100*(1-SQRT(((S215-'포지션 정의'!$N$7)^2+(T215-'포지션 정의'!$O$7)^2+(U215-'포지션 정의'!$P$7)^2)/3)/'판정 기준'!$B$7),0)</f>
        <v>73</v>
      </c>
      <c r="AH215" s="24" t="n">
        <f aca="false">ROUND(100*(1-SQRT(((S215-'포지션 정의'!$N$8)^2+(T215-'포지션 정의'!$O$8)^2+(U215-'포지션 정의'!$P$8)^2)/3)/'판정 기준'!$B$7),0)</f>
        <v>89</v>
      </c>
      <c r="AI215" s="24" t="n">
        <f aca="false">ROUND(100*(1-SQRT(((S215-'포지션 정의'!$N$9)^2+(T215-'포지션 정의'!$O$9)^2+(U215-'포지션 정의'!$P$9)^2)/3)/'판정 기준'!$B$7),0)</f>
        <v>71</v>
      </c>
      <c r="AJ215" s="23" t="str">
        <f aca="false">IF(G215&gt;='판정 기준'!$B$8,"경기긴장도, ","")&amp;IF(Q215&gt;='판정 기준'!$B$8,"사회적 도움 활용, ","")&amp;IF(K215&gt;='판정 기준'!$B$8,"경기 준비 능력, ","")&amp;IF(N215&gt;='판정 기준'!$B$8,"실수 후 회복력, ","")&amp;IF(P215&gt;='판정 기준'!$B$8,"자기 통제력, ","")</f>
        <v>사회적 도움 활용, </v>
      </c>
      <c r="AK215" s="23" t="n">
        <f aca="false">IF(AND(G215&lt;'판정 기준'!$B$8,OR(AJ215&lt;&gt;"",AP215&lt;&gt;"경기긴장도")),G215,0)</f>
        <v>4.2</v>
      </c>
      <c r="AL215" s="23" t="n">
        <f aca="false">IF(AND(Q215&lt;'판정 기준'!$B$8,OR(AJ215&lt;&gt;"",AP215&lt;&gt;"사회적 도움 활용")),Q215,0)</f>
        <v>0</v>
      </c>
      <c r="AM215" s="23" t="n">
        <f aca="false">IF(AND(K215&lt;'판정 기준'!$B$8,OR(AJ215&lt;&gt;"",AP215&lt;&gt;"경기 준비 능력")),K215,0)</f>
        <v>4.2</v>
      </c>
      <c r="AN215" s="23" t="n">
        <f aca="false">IF(AND(N215&lt;'판정 기준'!$B$8,OR(AJ215&lt;&gt;"",AP215&lt;&gt;"실수 후 회복력")),N215,0)</f>
        <v>3</v>
      </c>
      <c r="AO215" s="23" t="n">
        <f aca="false">IF(AND(P215&lt;'판정 기준'!$B$8,OR(AJ215&lt;&gt;"",AP215&lt;&gt;"자기 통제력")),P215,0)</f>
        <v>4</v>
      </c>
      <c r="AP215" s="23" t="str">
        <f aca="false">IF(Q215=MAX(G215,Q215,K215,N215,P215),"사회적 도움 활용",IF(P215=MAX(G215,Q215,K215,N215,P215),"자기 통제력",IF(G215=MAX(G215,Q215,K215,N215,P215),"경기긴장도",IF(K215=MAX(G215,Q215,K215,N215,P215),"경기 준비 능력","실수 후 회복력"))))</f>
        <v>사회적 도움 활용</v>
      </c>
    </row>
    <row r="216" customFormat="false" ht="17.15" hidden="false" customHeight="false" outlineLevel="0" collapsed="false">
      <c r="A216" s="13" t="s">
        <v>436</v>
      </c>
      <c r="B216" s="13" t="s">
        <v>187</v>
      </c>
      <c r="C216" s="13" t="s">
        <v>432</v>
      </c>
      <c r="D216" s="14" t="n">
        <v>46121</v>
      </c>
      <c r="E216" s="41" t="s">
        <v>193</v>
      </c>
      <c r="F216" s="42" t="n">
        <v>5.3</v>
      </c>
      <c r="G216" s="42" t="n">
        <v>5.8</v>
      </c>
      <c r="H216" s="42" t="n">
        <v>5.5</v>
      </c>
      <c r="I216" s="42" t="n">
        <v>6</v>
      </c>
      <c r="J216" s="42" t="n">
        <v>5.3</v>
      </c>
      <c r="K216" s="42" t="n">
        <v>5.2</v>
      </c>
      <c r="L216" s="42" t="n">
        <v>4.3</v>
      </c>
      <c r="M216" s="42" t="n">
        <v>5.7</v>
      </c>
      <c r="N216" s="42" t="n">
        <v>5.5</v>
      </c>
      <c r="O216" s="42" t="n">
        <v>5.3</v>
      </c>
      <c r="P216" s="42" t="n">
        <v>5.8</v>
      </c>
      <c r="Q216" s="42" t="n">
        <v>6</v>
      </c>
      <c r="R216" s="42" t="n">
        <v>6</v>
      </c>
      <c r="S216" s="37" t="n">
        <f aca="false">AVERAGE(G216:J216)</f>
        <v>5.65</v>
      </c>
      <c r="T216" s="37" t="n">
        <f aca="false">AVERAGE(K216:M216)</f>
        <v>5.06666666666667</v>
      </c>
      <c r="U216" s="37" t="n">
        <f aca="false">AVERAGE(N216:O216)</f>
        <v>5.4</v>
      </c>
      <c r="V216" s="23" t="str">
        <f aca="false">IF(S216&gt;='판정 기준'!$B$3,"H","L")&amp;IF(T216&gt;='판정 기준'!$B$3,"H","L")&amp;IF(U216&gt;='판정 기준'!$B$3,"H","L")</f>
        <v>HHH</v>
      </c>
      <c r="W216" s="36" t="str">
        <f aca="false">INDEX('포지션 정의'!$A$2:$A$9,MATCH(V216,'포지션 정의'!$D$2:$D$9,0))</f>
        <v>H</v>
      </c>
      <c r="X216" s="36" t="str">
        <f aca="false">INDEX('포지션 정의'!$B$2:$B$9,MATCH(V216,'포지션 정의'!$D$2:$D$9,0))</f>
        <v>올라운드 밸런스형</v>
      </c>
      <c r="Y216" s="43" t="str">
        <f aca="false">IF(AJ216="","가장 높은 지표: "&amp;AP216,LEFT(AJ216,LEN(AJ216)-2))</f>
        <v>경기긴장도, 사회적 도움 활용, 경기 준비 능력, 실수 후 회복력, 자기 통제력</v>
      </c>
      <c r="Z216" s="43" t="str">
        <f aca="false">IF(MAX(AK216:AO216)=0,"심화: "&amp;IF(N216=MIN(G216,Q216,K216,N216,P216),"실수 후 회복력",IF(K216=MIN(G216,Q216,K216,N216,P216),"경기 준비 능력",IF(G216=MIN(G216,Q216,K216,N216,P216),"경기긴장도",IF(P216=MIN(G216,Q216,K216,N216,P216),"자기 통제력","사회적 도움 활용")))),IF(MAX(AK216:AO216)&gt;='판정 기준'!$B$8-'판정 기준'!$B$4,IF(AN216=MAX(AK216:AO216),"실수 후 회복력",IF(AM216=MAX(AK216:AO216),"경기 준비 능력",IF(AK216=MAX(AK216:AO216),"경기긴장도",IF(AO216=MAX(AK216:AO216),"자기 통제력","사회적 도움 활용")))),IF(AN216&gt;0,"실수 후 회복력",IF(AM216&gt;0,"경기 준비 능력",IF(AK216&gt;0,"경기긴장도",IF(AO216&gt;0,"자기 통제력","사회적 도움 활용"))))))</f>
        <v>심화: 경기 준비 능력</v>
      </c>
      <c r="AA216" s="43" t="str">
        <f aca="false">INDEX('포지션 정의'!$L$2:$L$9,MATCH(V216,'포지션 정의'!$D$2:$D$9,0))</f>
        <v>크리스티아누 호날두 · 루카 모드리치 · 버질 반 다이크</v>
      </c>
      <c r="AB216" s="24" t="n">
        <f aca="false">ROUND(100*(1-SQRT(((S216-'포지션 정의'!$N$2)^2+(T216-'포지션 정의'!$O$2)^2+(U216-'포지션 정의'!$P$2)^2)/3)/'판정 기준'!$B$7),0)</f>
        <v>72</v>
      </c>
      <c r="AC216" s="24" t="n">
        <f aca="false">ROUND(100*(1-SQRT(((S216-'포지션 정의'!$N$3)^2+(T216-'포지션 정의'!$O$3)^2+(U216-'포지션 정의'!$P$3)^2)/3)/'판정 기준'!$B$7),0)</f>
        <v>81</v>
      </c>
      <c r="AD216" s="24" t="n">
        <f aca="false">ROUND(100*(1-SQRT(((S216-'포지션 정의'!$N$4)^2+(T216-'포지션 정의'!$O$4)^2+(U216-'포지션 정의'!$P$4)^2)/3)/'판정 기준'!$B$7),0)</f>
        <v>76</v>
      </c>
      <c r="AE216" s="24" t="n">
        <f aca="false">ROUND(100*(1-SQRT(((S216-'포지션 정의'!$N$5)^2+(T216-'포지션 정의'!$O$5)^2+(U216-'포지션 정의'!$P$5)^2)/3)/'판정 기준'!$B$7),0)</f>
        <v>84</v>
      </c>
      <c r="AF216" s="24" t="n">
        <f aca="false">ROUND(100*(1-SQRT(((S216-'포지션 정의'!$N$6)^2+(T216-'포지션 정의'!$O$6)^2+(U216-'포지션 정의'!$P$6)^2)/3)/'판정 기준'!$B$7),0)</f>
        <v>74</v>
      </c>
      <c r="AG216" s="24" t="n">
        <f aca="false">ROUND(100*(1-SQRT(((S216-'포지션 정의'!$N$7)^2+(T216-'포지션 정의'!$O$7)^2+(U216-'포지션 정의'!$P$7)^2)/3)/'판정 기준'!$B$7),0)</f>
        <v>78</v>
      </c>
      <c r="AH216" s="24" t="n">
        <f aca="false">ROUND(100*(1-SQRT(((S216-'포지션 정의'!$N$8)^2+(T216-'포지션 정의'!$O$8)^2+(U216-'포지션 정의'!$P$8)^2)/3)/'판정 기준'!$B$7),0)</f>
        <v>68</v>
      </c>
      <c r="AI216" s="24" t="n">
        <f aca="false">ROUND(100*(1-SQRT(((S216-'포지션 정의'!$N$9)^2+(T216-'포지션 정의'!$O$9)^2+(U216-'포지션 정의'!$P$9)^2)/3)/'판정 기준'!$B$7),0)</f>
        <v>94</v>
      </c>
      <c r="AJ216" s="23" t="str">
        <f aca="false">IF(G216&gt;='판정 기준'!$B$8,"경기긴장도, ","")&amp;IF(Q216&gt;='판정 기준'!$B$8,"사회적 도움 활용, ","")&amp;IF(K216&gt;='판정 기준'!$B$8,"경기 준비 능력, ","")&amp;IF(N216&gt;='판정 기준'!$B$8,"실수 후 회복력, ","")&amp;IF(P216&gt;='판정 기준'!$B$8,"자기 통제력, ","")</f>
        <v>경기긴장도, 사회적 도움 활용, 경기 준비 능력, 실수 후 회복력, 자기 통제력, </v>
      </c>
      <c r="AK216" s="23" t="n">
        <f aca="false">IF(AND(G216&lt;'판정 기준'!$B$8,OR(AJ216&lt;&gt;"",AP216&lt;&gt;"경기긴장도")),G216,0)</f>
        <v>0</v>
      </c>
      <c r="AL216" s="23" t="n">
        <f aca="false">IF(AND(Q216&lt;'판정 기준'!$B$8,OR(AJ216&lt;&gt;"",AP216&lt;&gt;"사회적 도움 활용")),Q216,0)</f>
        <v>0</v>
      </c>
      <c r="AM216" s="23" t="n">
        <f aca="false">IF(AND(K216&lt;'판정 기준'!$B$8,OR(AJ216&lt;&gt;"",AP216&lt;&gt;"경기 준비 능력")),K216,0)</f>
        <v>0</v>
      </c>
      <c r="AN216" s="23" t="n">
        <f aca="false">IF(AND(N216&lt;'판정 기준'!$B$8,OR(AJ216&lt;&gt;"",AP216&lt;&gt;"실수 후 회복력")),N216,0)</f>
        <v>0</v>
      </c>
      <c r="AO216" s="23" t="n">
        <f aca="false">IF(AND(P216&lt;'판정 기준'!$B$8,OR(AJ216&lt;&gt;"",AP216&lt;&gt;"자기 통제력")),P216,0)</f>
        <v>0</v>
      </c>
      <c r="AP216" s="23" t="str">
        <f aca="false">IF(Q216=MAX(G216,Q216,K216,N216,P216),"사회적 도움 활용",IF(P216=MAX(G216,Q216,K216,N216,P216),"자기 통제력",IF(G216=MAX(G216,Q216,K216,N216,P216),"경기긴장도",IF(K216=MAX(G216,Q216,K216,N216,P216),"경기 준비 능력","실수 후 회복력"))))</f>
        <v>사회적 도움 활용</v>
      </c>
    </row>
    <row r="217" customFormat="false" ht="17.15" hidden="false" customHeight="false" outlineLevel="0" collapsed="false">
      <c r="A217" s="13" t="s">
        <v>437</v>
      </c>
      <c r="B217" s="13" t="s">
        <v>187</v>
      </c>
      <c r="C217" s="13" t="s">
        <v>432</v>
      </c>
      <c r="D217" s="14" t="n">
        <v>46121</v>
      </c>
      <c r="E217" s="41" t="s">
        <v>198</v>
      </c>
      <c r="F217" s="42" t="n">
        <v>4.9</v>
      </c>
      <c r="G217" s="42" t="n">
        <v>4</v>
      </c>
      <c r="H217" s="42" t="n">
        <v>4.3</v>
      </c>
      <c r="I217" s="42" t="n">
        <v>5</v>
      </c>
      <c r="J217" s="42" t="n">
        <v>3.7</v>
      </c>
      <c r="K217" s="42" t="n">
        <v>4.3</v>
      </c>
      <c r="L217" s="42" t="n">
        <v>4.2</v>
      </c>
      <c r="M217" s="42" t="n">
        <v>5</v>
      </c>
      <c r="N217" s="42" t="n">
        <v>5.8</v>
      </c>
      <c r="O217" s="42" t="n">
        <v>5.7</v>
      </c>
      <c r="P217" s="42" t="n">
        <v>5.6</v>
      </c>
      <c r="Q217" s="42" t="n">
        <v>4</v>
      </c>
      <c r="R217" s="42" t="n">
        <v>4.7</v>
      </c>
      <c r="S217" s="37" t="n">
        <f aca="false">AVERAGE(G217:J217)</f>
        <v>4.25</v>
      </c>
      <c r="T217" s="37" t="n">
        <f aca="false">AVERAGE(K217:M217)</f>
        <v>4.5</v>
      </c>
      <c r="U217" s="37" t="n">
        <f aca="false">AVERAGE(N217:O217)</f>
        <v>5.75</v>
      </c>
      <c r="V217" s="23" t="str">
        <f aca="false">IF(S217&gt;='판정 기준'!$B$3,"H","L")&amp;IF(T217&gt;='판정 기준'!$B$3,"H","L")&amp;IF(U217&gt;='판정 기준'!$B$3,"H","L")</f>
        <v>LHH</v>
      </c>
      <c r="W217" s="36" t="str">
        <f aca="false">INDEX('포지션 정의'!$A$2:$A$9,MATCH(V217,'포지션 정의'!$D$2:$D$9,0))</f>
        <v>F</v>
      </c>
      <c r="X217" s="36" t="str">
        <f aca="false">INDEX('포지션 정의'!$B$2:$B$9,MATCH(V217,'포지션 정의'!$D$2:$D$9,0))</f>
        <v>성실한 도전자형</v>
      </c>
      <c r="Y217" s="43" t="str">
        <f aca="false">IF(AJ217="","가장 높은 지표: "&amp;AP217,LEFT(AJ217,LEN(AJ217)-2))</f>
        <v>실수 후 회복력, 자기 통제력</v>
      </c>
      <c r="Z217" s="43" t="str">
        <f aca="false">IF(MAX(AK217:AO217)=0,"심화: "&amp;IF(N217=MIN(G217,Q217,K217,N217,P217),"실수 후 회복력",IF(K217=MIN(G217,Q217,K217,N217,P217),"경기 준비 능력",IF(G217=MIN(G217,Q217,K217,N217,P217),"경기긴장도",IF(P217=MIN(G217,Q217,K217,N217,P217),"자기 통제력","사회적 도움 활용")))),IF(MAX(AK217:AO217)&gt;='판정 기준'!$B$8-'판정 기준'!$B$4,IF(AN217=MAX(AK217:AO217),"실수 후 회복력",IF(AM217=MAX(AK217:AO217),"경기 준비 능력",IF(AK217=MAX(AK217:AO217),"경기긴장도",IF(AO217=MAX(AK217:AO217),"자기 통제력","사회적 도움 활용")))),IF(AN217&gt;0,"실수 후 회복력",IF(AM217&gt;0,"경기 준비 능력",IF(AK217&gt;0,"경기긴장도",IF(AO217&gt;0,"자기 통제력","사회적 도움 활용"))))))</f>
        <v>경기 준비 능력</v>
      </c>
      <c r="AA217" s="43" t="str">
        <f aca="false">INDEX('포지션 정의'!$L$2:$L$9,MATCH(V217,'포지션 정의'!$D$2:$D$9,0))</f>
        <v>제이미 바디 · 은골로 캉테 · 박지성</v>
      </c>
      <c r="AB217" s="24" t="n">
        <f aca="false">ROUND(100*(1-SQRT(((S217-'포지션 정의'!$N$2)^2+(T217-'포지션 정의'!$O$2)^2+(U217-'포지션 정의'!$P$2)^2)/3)/'판정 기준'!$B$7),0)</f>
        <v>76</v>
      </c>
      <c r="AC217" s="24" t="n">
        <f aca="false">ROUND(100*(1-SQRT(((S217-'포지션 정의'!$N$3)^2+(T217-'포지션 정의'!$O$3)^2+(U217-'포지션 정의'!$P$3)^2)/3)/'판정 기준'!$B$7),0)</f>
        <v>74</v>
      </c>
      <c r="AD217" s="24" t="n">
        <f aca="false">ROUND(100*(1-SQRT(((S217-'포지션 정의'!$N$4)^2+(T217-'포지션 정의'!$O$4)^2+(U217-'포지션 정의'!$P$4)^2)/3)/'판정 기준'!$B$7),0)</f>
        <v>74</v>
      </c>
      <c r="AE217" s="24" t="n">
        <f aca="false">ROUND(100*(1-SQRT(((S217-'포지션 정의'!$N$5)^2+(T217-'포지션 정의'!$O$5)^2+(U217-'포지션 정의'!$P$5)^2)/3)/'판정 기준'!$B$7),0)</f>
        <v>85</v>
      </c>
      <c r="AF217" s="24" t="n">
        <f aca="false">ROUND(100*(1-SQRT(((S217-'포지션 정의'!$N$6)^2+(T217-'포지션 정의'!$O$6)^2+(U217-'포지션 정의'!$P$6)^2)/3)/'판정 기준'!$B$7),0)</f>
        <v>88</v>
      </c>
      <c r="AG217" s="24" t="n">
        <f aca="false">ROUND(100*(1-SQRT(((S217-'포지션 정의'!$N$7)^2+(T217-'포지션 정의'!$O$7)^2+(U217-'포지션 정의'!$P$7)^2)/3)/'판정 기준'!$B$7),0)</f>
        <v>88</v>
      </c>
      <c r="AH217" s="24" t="n">
        <f aca="false">ROUND(100*(1-SQRT(((S217-'포지션 정의'!$N$8)^2+(T217-'포지션 정의'!$O$8)^2+(U217-'포지션 정의'!$P$8)^2)/3)/'판정 기준'!$B$7),0)</f>
        <v>76</v>
      </c>
      <c r="AI217" s="24" t="n">
        <f aca="false">ROUND(100*(1-SQRT(((S217-'포지션 정의'!$N$9)^2+(T217-'포지션 정의'!$O$9)^2+(U217-'포지션 정의'!$P$9)^2)/3)/'판정 기준'!$B$7),0)</f>
        <v>85</v>
      </c>
      <c r="AJ217" s="23" t="str">
        <f aca="false">IF(G217&gt;='판정 기준'!$B$8,"경기긴장도, ","")&amp;IF(Q217&gt;='판정 기준'!$B$8,"사회적 도움 활용, ","")&amp;IF(K217&gt;='판정 기준'!$B$8,"경기 준비 능력, ","")&amp;IF(N217&gt;='판정 기준'!$B$8,"실수 후 회복력, ","")&amp;IF(P217&gt;='판정 기준'!$B$8,"자기 통제력, ","")</f>
        <v>실수 후 회복력, 자기 통제력, </v>
      </c>
      <c r="AK217" s="23" t="n">
        <f aca="false">IF(AND(G217&lt;'판정 기준'!$B$8,OR(AJ217&lt;&gt;"",AP217&lt;&gt;"경기긴장도")),G217,0)</f>
        <v>4</v>
      </c>
      <c r="AL217" s="23" t="n">
        <f aca="false">IF(AND(Q217&lt;'판정 기준'!$B$8,OR(AJ217&lt;&gt;"",AP217&lt;&gt;"사회적 도움 활용")),Q217,0)</f>
        <v>4</v>
      </c>
      <c r="AM217" s="23" t="n">
        <f aca="false">IF(AND(K217&lt;'판정 기준'!$B$8,OR(AJ217&lt;&gt;"",AP217&lt;&gt;"경기 준비 능력")),K217,0)</f>
        <v>4.3</v>
      </c>
      <c r="AN217" s="23" t="n">
        <f aca="false">IF(AND(N217&lt;'판정 기준'!$B$8,OR(AJ217&lt;&gt;"",AP217&lt;&gt;"실수 후 회복력")),N217,0)</f>
        <v>0</v>
      </c>
      <c r="AO217" s="23" t="n">
        <f aca="false">IF(AND(P217&lt;'판정 기준'!$B$8,OR(AJ217&lt;&gt;"",AP217&lt;&gt;"자기 통제력")),P217,0)</f>
        <v>0</v>
      </c>
      <c r="AP217" s="23" t="str">
        <f aca="false">IF(Q217=MAX(G217,Q217,K217,N217,P217),"사회적 도움 활용",IF(P217=MAX(G217,Q217,K217,N217,P217),"자기 통제력",IF(G217=MAX(G217,Q217,K217,N217,P217),"경기긴장도",IF(K217=MAX(G217,Q217,K217,N217,P217),"경기 준비 능력","실수 후 회복력"))))</f>
        <v>실수 후 회복력</v>
      </c>
    </row>
    <row r="218" customFormat="false" ht="17.15" hidden="false" customHeight="false" outlineLevel="0" collapsed="false">
      <c r="A218" s="13" t="s">
        <v>438</v>
      </c>
      <c r="B218" s="13" t="s">
        <v>187</v>
      </c>
      <c r="C218" s="13" t="s">
        <v>432</v>
      </c>
      <c r="D218" s="14" t="n">
        <v>46121</v>
      </c>
      <c r="E218" s="41" t="s">
        <v>189</v>
      </c>
      <c r="F218" s="42" t="n">
        <v>4.6</v>
      </c>
      <c r="G218" s="42" t="n">
        <v>4.3</v>
      </c>
      <c r="H218" s="42" t="n">
        <v>3.8</v>
      </c>
      <c r="I218" s="42" t="n">
        <v>4.8</v>
      </c>
      <c r="J218" s="42" t="n">
        <v>4</v>
      </c>
      <c r="K218" s="42" t="n">
        <v>4.7</v>
      </c>
      <c r="L218" s="42" t="n">
        <v>4.8</v>
      </c>
      <c r="M218" s="42" t="n">
        <v>4.6</v>
      </c>
      <c r="N218" s="42" t="n">
        <v>4.4</v>
      </c>
      <c r="O218" s="42" t="n">
        <v>4.3</v>
      </c>
      <c r="P218" s="42" t="n">
        <v>5</v>
      </c>
      <c r="Q218" s="42" t="n">
        <v>4.4</v>
      </c>
      <c r="R218" s="42" t="n">
        <v>5</v>
      </c>
      <c r="S218" s="37" t="n">
        <f aca="false">AVERAGE(G218:J218)</f>
        <v>4.225</v>
      </c>
      <c r="T218" s="37" t="n">
        <f aca="false">AVERAGE(K218:M218)</f>
        <v>4.7</v>
      </c>
      <c r="U218" s="37" t="n">
        <f aca="false">AVERAGE(N218:O218)</f>
        <v>4.35</v>
      </c>
      <c r="V218" s="23" t="str">
        <f aca="false">IF(S218&gt;='판정 기준'!$B$3,"H","L")&amp;IF(T218&gt;='판정 기준'!$B$3,"H","L")&amp;IF(U218&gt;='판정 기준'!$B$3,"H","L")</f>
        <v>LHL</v>
      </c>
      <c r="W218" s="36" t="str">
        <f aca="false">INDEX('포지션 정의'!$A$2:$A$9,MATCH(V218,'포지션 정의'!$D$2:$D$9,0))</f>
        <v>A</v>
      </c>
      <c r="X218" s="36" t="str">
        <f aca="false">INDEX('포지션 정의'!$B$2:$B$9,MATCH(V218,'포지션 정의'!$D$2:$D$9,0))</f>
        <v>섬세한 준비형</v>
      </c>
      <c r="Y218" s="43" t="str">
        <f aca="false">IF(AJ218="","가장 높은 지표: "&amp;AP218,LEFT(AJ218,LEN(AJ218)-2))</f>
        <v>자기 통제력</v>
      </c>
      <c r="Z218" s="43" t="str">
        <f aca="false">IF(MAX(AK218:AO218)=0,"심화: "&amp;IF(N218=MIN(G218,Q218,K218,N218,P218),"실수 후 회복력",IF(K218=MIN(G218,Q218,K218,N218,P218),"경기 준비 능력",IF(G218=MIN(G218,Q218,K218,N218,P218),"경기긴장도",IF(P218=MIN(G218,Q218,K218,N218,P218),"자기 통제력","사회적 도움 활용")))),IF(MAX(AK218:AO218)&gt;='판정 기준'!$B$8-'판정 기준'!$B$4,IF(AN218=MAX(AK218:AO218),"실수 후 회복력",IF(AM218=MAX(AK218:AO218),"경기 준비 능력",IF(AK218=MAX(AK218:AO218),"경기긴장도",IF(AO218=MAX(AK218:AO218),"자기 통제력","사회적 도움 활용")))),IF(AN218&gt;0,"실수 후 회복력",IF(AM218&gt;0,"경기 준비 능력",IF(AK218&gt;0,"경기긴장도",IF(AO218&gt;0,"자기 통제력","사회적 도움 활용"))))))</f>
        <v>경기 준비 능력</v>
      </c>
      <c r="AA218" s="43" t="str">
        <f aca="false">INDEX('포지션 정의'!$L$2:$L$9,MATCH(V218,'포지션 정의'!$D$2:$D$9,0))</f>
        <v>로베르트 레반도프스키 · 제임스 밀너 · 마르틴 외데고르</v>
      </c>
      <c r="AB218" s="24" t="n">
        <f aca="false">ROUND(100*(1-SQRT(((S218-'포지션 정의'!$N$2)^2+(T218-'포지션 정의'!$O$2)^2+(U218-'포지션 정의'!$P$2)^2)/3)/'판정 기준'!$B$7),0)</f>
        <v>90</v>
      </c>
      <c r="AC218" s="24" t="n">
        <f aca="false">ROUND(100*(1-SQRT(((S218-'포지션 정의'!$N$3)^2+(T218-'포지션 정의'!$O$3)^2+(U218-'포지션 정의'!$P$3)^2)/3)/'판정 기준'!$B$7),0)</f>
        <v>86</v>
      </c>
      <c r="AD218" s="24" t="n">
        <f aca="false">ROUND(100*(1-SQRT(((S218-'포지션 정의'!$N$4)^2+(T218-'포지션 정의'!$O$4)^2+(U218-'포지션 정의'!$P$4)^2)/3)/'판정 기준'!$B$7),0)</f>
        <v>83</v>
      </c>
      <c r="AE218" s="24" t="n">
        <f aca="false">ROUND(100*(1-SQRT(((S218-'포지션 정의'!$N$5)^2+(T218-'포지션 정의'!$O$5)^2+(U218-'포지션 정의'!$P$5)^2)/3)/'판정 기준'!$B$7),0)</f>
        <v>82</v>
      </c>
      <c r="AF218" s="24" t="n">
        <f aca="false">ROUND(100*(1-SQRT(((S218-'포지션 정의'!$N$6)^2+(T218-'포지션 정의'!$O$6)^2+(U218-'포지션 정의'!$P$6)^2)/3)/'판정 기준'!$B$7),0)</f>
        <v>85</v>
      </c>
      <c r="AG218" s="24" t="n">
        <f aca="false">ROUND(100*(1-SQRT(((S218-'포지션 정의'!$N$7)^2+(T218-'포지션 정의'!$O$7)^2+(U218-'포지션 정의'!$P$7)^2)/3)/'판정 기준'!$B$7),0)</f>
        <v>88</v>
      </c>
      <c r="AH218" s="24" t="n">
        <f aca="false">ROUND(100*(1-SQRT(((S218-'포지션 정의'!$N$8)^2+(T218-'포지션 정의'!$O$8)^2+(U218-'포지션 정의'!$P$8)^2)/3)/'판정 기준'!$B$7),0)</f>
        <v>87</v>
      </c>
      <c r="AI218" s="24" t="n">
        <f aca="false">ROUND(100*(1-SQRT(((S218-'포지션 정의'!$N$9)^2+(T218-'포지션 정의'!$O$9)^2+(U218-'포지션 정의'!$P$9)^2)/3)/'판정 기준'!$B$7),0)</f>
        <v>84</v>
      </c>
      <c r="AJ218" s="23" t="str">
        <f aca="false">IF(G218&gt;='판정 기준'!$B$8,"경기긴장도, ","")&amp;IF(Q218&gt;='판정 기준'!$B$8,"사회적 도움 활용, ","")&amp;IF(K218&gt;='판정 기준'!$B$8,"경기 준비 능력, ","")&amp;IF(N218&gt;='판정 기준'!$B$8,"실수 후 회복력, ","")&amp;IF(P218&gt;='판정 기준'!$B$8,"자기 통제력, ","")</f>
        <v>자기 통제력, </v>
      </c>
      <c r="AK218" s="23" t="n">
        <f aca="false">IF(AND(G218&lt;'판정 기준'!$B$8,OR(AJ218&lt;&gt;"",AP218&lt;&gt;"경기긴장도")),G218,0)</f>
        <v>4.3</v>
      </c>
      <c r="AL218" s="23" t="n">
        <f aca="false">IF(AND(Q218&lt;'판정 기준'!$B$8,OR(AJ218&lt;&gt;"",AP218&lt;&gt;"사회적 도움 활용")),Q218,0)</f>
        <v>4.4</v>
      </c>
      <c r="AM218" s="23" t="n">
        <f aca="false">IF(AND(K218&lt;'판정 기준'!$B$8,OR(AJ218&lt;&gt;"",AP218&lt;&gt;"경기 준비 능력")),K218,0)</f>
        <v>4.7</v>
      </c>
      <c r="AN218" s="23" t="n">
        <f aca="false">IF(AND(N218&lt;'판정 기준'!$B$8,OR(AJ218&lt;&gt;"",AP218&lt;&gt;"실수 후 회복력")),N218,0)</f>
        <v>4.4</v>
      </c>
      <c r="AO218" s="23" t="n">
        <f aca="false">IF(AND(P218&lt;'판정 기준'!$B$8,OR(AJ218&lt;&gt;"",AP218&lt;&gt;"자기 통제력")),P218,0)</f>
        <v>0</v>
      </c>
      <c r="AP218" s="23" t="str">
        <f aca="false">IF(Q218=MAX(G218,Q218,K218,N218,P218),"사회적 도움 활용",IF(P218=MAX(G218,Q218,K218,N218,P218),"자기 통제력",IF(G218=MAX(G218,Q218,K218,N218,P218),"경기긴장도",IF(K218=MAX(G218,Q218,K218,N218,P218),"경기 준비 능력","실수 후 회복력"))))</f>
        <v>자기 통제력</v>
      </c>
    </row>
    <row r="219" customFormat="false" ht="17.15" hidden="false" customHeight="false" outlineLevel="0" collapsed="false">
      <c r="A219" s="13" t="s">
        <v>439</v>
      </c>
      <c r="B219" s="13" t="s">
        <v>187</v>
      </c>
      <c r="C219" s="13" t="s">
        <v>432</v>
      </c>
      <c r="D219" s="14" t="n">
        <v>46121</v>
      </c>
      <c r="E219" s="41" t="s">
        <v>193</v>
      </c>
      <c r="F219" s="42" t="n">
        <v>5</v>
      </c>
      <c r="G219" s="42" t="n">
        <v>4.7</v>
      </c>
      <c r="H219" s="42" t="n">
        <v>4.2</v>
      </c>
      <c r="I219" s="42" t="n">
        <v>5.4</v>
      </c>
      <c r="J219" s="42" t="n">
        <v>4.3</v>
      </c>
      <c r="K219" s="42" t="n">
        <v>4.9</v>
      </c>
      <c r="L219" s="42" t="n">
        <v>5</v>
      </c>
      <c r="M219" s="42" t="n">
        <v>4.9</v>
      </c>
      <c r="N219" s="42" t="n">
        <v>5.1</v>
      </c>
      <c r="O219" s="42" t="n">
        <v>5.2</v>
      </c>
      <c r="P219" s="42" t="n">
        <v>5.3</v>
      </c>
      <c r="Q219" s="42" t="n">
        <v>5.8</v>
      </c>
      <c r="R219" s="42" t="n">
        <v>6</v>
      </c>
      <c r="S219" s="37" t="n">
        <f aca="false">AVERAGE(G219:J219)</f>
        <v>4.65</v>
      </c>
      <c r="T219" s="37" t="n">
        <f aca="false">AVERAGE(K219:M219)</f>
        <v>4.93333333333333</v>
      </c>
      <c r="U219" s="37" t="n">
        <f aca="false">AVERAGE(N219:O219)</f>
        <v>5.15</v>
      </c>
      <c r="V219" s="23" t="str">
        <f aca="false">IF(S219&gt;='판정 기준'!$B$3,"H","L")&amp;IF(T219&gt;='판정 기준'!$B$3,"H","L")&amp;IF(U219&gt;='판정 기준'!$B$3,"H","L")</f>
        <v>HHH</v>
      </c>
      <c r="W219" s="36" t="str">
        <f aca="false">INDEX('포지션 정의'!$A$2:$A$9,MATCH(V219,'포지션 정의'!$D$2:$D$9,0))</f>
        <v>H</v>
      </c>
      <c r="X219" s="36" t="str">
        <f aca="false">INDEX('포지션 정의'!$B$2:$B$9,MATCH(V219,'포지션 정의'!$D$2:$D$9,0))</f>
        <v>올라운드 밸런스형</v>
      </c>
      <c r="Y219" s="43" t="str">
        <f aca="false">IF(AJ219="","가장 높은 지표: "&amp;AP219,LEFT(AJ219,LEN(AJ219)-2))</f>
        <v>사회적 도움 활용, 경기 준비 능력, 실수 후 회복력, 자기 통제력</v>
      </c>
      <c r="Z219" s="43" t="str">
        <f aca="false">IF(MAX(AK219:AO219)=0,"심화: "&amp;IF(N219=MIN(G219,Q219,K219,N219,P219),"실수 후 회복력",IF(K219=MIN(G219,Q219,K219,N219,P219),"경기 준비 능력",IF(G219=MIN(G219,Q219,K219,N219,P219),"경기긴장도",IF(P219=MIN(G219,Q219,K219,N219,P219),"자기 통제력","사회적 도움 활용")))),IF(MAX(AK219:AO219)&gt;='판정 기준'!$B$8-'판정 기준'!$B$4,IF(AN219=MAX(AK219:AO219),"실수 후 회복력",IF(AM219=MAX(AK219:AO219),"경기 준비 능력",IF(AK219=MAX(AK219:AO219),"경기긴장도",IF(AO219=MAX(AK219:AO219),"자기 통제력","사회적 도움 활용")))),IF(AN219&gt;0,"실수 후 회복력",IF(AM219&gt;0,"경기 준비 능력",IF(AK219&gt;0,"경기긴장도",IF(AO219&gt;0,"자기 통제력","사회적 도움 활용"))))))</f>
        <v>경기긴장도</v>
      </c>
      <c r="AA219" s="43" t="str">
        <f aca="false">INDEX('포지션 정의'!$L$2:$L$9,MATCH(V219,'포지션 정의'!$D$2:$D$9,0))</f>
        <v>크리스티아누 호날두 · 루카 모드리치 · 버질 반 다이크</v>
      </c>
      <c r="AB219" s="24" t="n">
        <f aca="false">ROUND(100*(1-SQRT(((S219-'포지션 정의'!$N$2)^2+(T219-'포지션 정의'!$O$2)^2+(U219-'포지션 정의'!$P$2)^2)/3)/'판정 기준'!$B$7),0)</f>
        <v>81</v>
      </c>
      <c r="AC219" s="24" t="n">
        <f aca="false">ROUND(100*(1-SQRT(((S219-'포지션 정의'!$N$3)^2+(T219-'포지션 정의'!$O$3)^2+(U219-'포지션 정의'!$P$3)^2)/3)/'판정 기준'!$B$7),0)</f>
        <v>83</v>
      </c>
      <c r="AD219" s="24" t="n">
        <f aca="false">ROUND(100*(1-SQRT(((S219-'포지션 정의'!$N$4)^2+(T219-'포지션 정의'!$O$4)^2+(U219-'포지션 정의'!$P$4)^2)/3)/'판정 기준'!$B$7),0)</f>
        <v>79</v>
      </c>
      <c r="AE219" s="24" t="n">
        <f aca="false">ROUND(100*(1-SQRT(((S219-'포지션 정의'!$N$5)^2+(T219-'포지션 정의'!$O$5)^2+(U219-'포지션 정의'!$P$5)^2)/3)/'판정 기준'!$B$7),0)</f>
        <v>85</v>
      </c>
      <c r="AF219" s="24" t="n">
        <f aca="false">ROUND(100*(1-SQRT(((S219-'포지션 정의'!$N$6)^2+(T219-'포지션 정의'!$O$6)^2+(U219-'포지션 정의'!$P$6)^2)/3)/'판정 기준'!$B$7),0)</f>
        <v>84</v>
      </c>
      <c r="AG219" s="24" t="n">
        <f aca="false">ROUND(100*(1-SQRT(((S219-'포지션 정의'!$N$7)^2+(T219-'포지션 정의'!$O$7)^2+(U219-'포지션 정의'!$P$7)^2)/3)/'판정 기준'!$B$7),0)</f>
        <v>90</v>
      </c>
      <c r="AH219" s="24" t="n">
        <f aca="false">ROUND(100*(1-SQRT(((S219-'포지션 정의'!$N$8)^2+(T219-'포지션 정의'!$O$8)^2+(U219-'포지션 정의'!$P$8)^2)/3)/'판정 기준'!$B$7),0)</f>
        <v>77</v>
      </c>
      <c r="AI219" s="24" t="n">
        <f aca="false">ROUND(100*(1-SQRT(((S219-'포지션 정의'!$N$9)^2+(T219-'포지션 정의'!$O$9)^2+(U219-'포지션 정의'!$P$9)^2)/3)/'판정 기준'!$B$7),0)</f>
        <v>93</v>
      </c>
      <c r="AJ219" s="23" t="str">
        <f aca="false">IF(G219&gt;='판정 기준'!$B$8,"경기긴장도, ","")&amp;IF(Q219&gt;='판정 기준'!$B$8,"사회적 도움 활용, ","")&amp;IF(K219&gt;='판정 기준'!$B$8,"경기 준비 능력, ","")&amp;IF(N219&gt;='판정 기준'!$B$8,"실수 후 회복력, ","")&amp;IF(P219&gt;='판정 기준'!$B$8,"자기 통제력, ","")</f>
        <v>사회적 도움 활용, 경기 준비 능력, 실수 후 회복력, 자기 통제력, </v>
      </c>
      <c r="AK219" s="23" t="n">
        <f aca="false">IF(AND(G219&lt;'판정 기준'!$B$8,OR(AJ219&lt;&gt;"",AP219&lt;&gt;"경기긴장도")),G219,0)</f>
        <v>4.7</v>
      </c>
      <c r="AL219" s="23" t="n">
        <f aca="false">IF(AND(Q219&lt;'판정 기준'!$B$8,OR(AJ219&lt;&gt;"",AP219&lt;&gt;"사회적 도움 활용")),Q219,0)</f>
        <v>0</v>
      </c>
      <c r="AM219" s="23" t="n">
        <f aca="false">IF(AND(K219&lt;'판정 기준'!$B$8,OR(AJ219&lt;&gt;"",AP219&lt;&gt;"경기 준비 능력")),K219,0)</f>
        <v>0</v>
      </c>
      <c r="AN219" s="23" t="n">
        <f aca="false">IF(AND(N219&lt;'판정 기준'!$B$8,OR(AJ219&lt;&gt;"",AP219&lt;&gt;"실수 후 회복력")),N219,0)</f>
        <v>0</v>
      </c>
      <c r="AO219" s="23" t="n">
        <f aca="false">IF(AND(P219&lt;'판정 기준'!$B$8,OR(AJ219&lt;&gt;"",AP219&lt;&gt;"자기 통제력")),P219,0)</f>
        <v>0</v>
      </c>
      <c r="AP219" s="23" t="str">
        <f aca="false">IF(Q219=MAX(G219,Q219,K219,N219,P219),"사회적 도움 활용",IF(P219=MAX(G219,Q219,K219,N219,P219),"자기 통제력",IF(G219=MAX(G219,Q219,K219,N219,P219),"경기긴장도",IF(K219=MAX(G219,Q219,K219,N219,P219),"경기 준비 능력","실수 후 회복력"))))</f>
        <v>사회적 도움 활용</v>
      </c>
    </row>
    <row r="220" customFormat="false" ht="17.15" hidden="false" customHeight="false" outlineLevel="0" collapsed="false">
      <c r="A220" s="13" t="s">
        <v>440</v>
      </c>
      <c r="B220" s="13" t="s">
        <v>187</v>
      </c>
      <c r="C220" s="13" t="s">
        <v>335</v>
      </c>
      <c r="D220" s="14" t="n">
        <v>46161</v>
      </c>
      <c r="E220" s="41" t="s">
        <v>195</v>
      </c>
      <c r="F220" s="42" t="n">
        <v>3.5</v>
      </c>
      <c r="G220" s="42" t="n">
        <v>2.3</v>
      </c>
      <c r="H220" s="42" t="n">
        <v>1.8</v>
      </c>
      <c r="I220" s="42" t="n">
        <v>3.2</v>
      </c>
      <c r="J220" s="42" t="n">
        <v>1.7</v>
      </c>
      <c r="K220" s="42" t="n">
        <v>4.4</v>
      </c>
      <c r="L220" s="42" t="n">
        <v>4.5</v>
      </c>
      <c r="M220" s="42" t="n">
        <v>4.3</v>
      </c>
      <c r="N220" s="42" t="n">
        <v>3.7</v>
      </c>
      <c r="O220" s="42" t="n">
        <v>3.8</v>
      </c>
      <c r="P220" s="42" t="n">
        <v>3.5</v>
      </c>
      <c r="Q220" s="42" t="n">
        <v>4.6</v>
      </c>
      <c r="R220" s="42" t="n">
        <v>4.7</v>
      </c>
      <c r="S220" s="37" t="n">
        <f aca="false">AVERAGE(G220:J220)</f>
        <v>2.25</v>
      </c>
      <c r="T220" s="37" t="n">
        <f aca="false">AVERAGE(K220:M220)</f>
        <v>4.4</v>
      </c>
      <c r="U220" s="37" t="n">
        <f aca="false">AVERAGE(N220:O220)</f>
        <v>3.75</v>
      </c>
      <c r="V220" s="23" t="str">
        <f aca="false">IF(S220&gt;='판정 기준'!$B$3,"H","L")&amp;IF(T220&gt;='판정 기준'!$B$3,"H","L")&amp;IF(U220&gt;='판정 기준'!$B$3,"H","L")</f>
        <v>LLL</v>
      </c>
      <c r="W220" s="36" t="str">
        <f aca="false">INDEX('포지션 정의'!$A$2:$A$9,MATCH(V220,'포지션 정의'!$D$2:$D$9,0))</f>
        <v>G</v>
      </c>
      <c r="X220" s="36" t="str">
        <f aca="false">INDEX('포지션 정의'!$B$2:$B$9,MATCH(V220,'포지션 정의'!$D$2:$D$9,0))</f>
        <v>스펀지 흡수형</v>
      </c>
      <c r="Y220" s="43" t="str">
        <f aca="false">IF(AJ220="","가장 높은 지표: "&amp;AP220,LEFT(AJ220,LEN(AJ220)-2))</f>
        <v>가장 높은 지표: 사회적 도움 활용</v>
      </c>
      <c r="Z220" s="43" t="str">
        <f aca="false">IF(MAX(AK220:AO220)=0,"심화: "&amp;IF(N220=MIN(G220,Q220,K220,N220,P220),"실수 후 회복력",IF(K220=MIN(G220,Q220,K220,N220,P220),"경기 준비 능력",IF(G220=MIN(G220,Q220,K220,N220,P220),"경기긴장도",IF(P220=MIN(G220,Q220,K220,N220,P220),"자기 통제력","사회적 도움 활용")))),IF(MAX(AK220:AO220)&gt;='판정 기준'!$B$8-'판정 기준'!$B$4,IF(AN220=MAX(AK220:AO220),"실수 후 회복력",IF(AM220=MAX(AK220:AO220),"경기 준비 능력",IF(AK220=MAX(AK220:AO220),"경기긴장도",IF(AO220=MAX(AK220:AO220),"자기 통제력","사회적 도움 활용")))),IF(AN220&gt;0,"실수 후 회복력",IF(AM220&gt;0,"경기 준비 능력",IF(AK220&gt;0,"경기긴장도",IF(AO220&gt;0,"자기 통제력","사회적 도움 활용"))))))</f>
        <v>실수 후 회복력</v>
      </c>
      <c r="AA220" s="43" t="str">
        <f aca="false">INDEX('포지션 정의'!$L$2:$L$9,MATCH(V220,'포지션 정의'!$D$2:$D$9,0))</f>
        <v>디디에 드로그바 · 앙투안 그리즈만 · 모하메드 살라</v>
      </c>
      <c r="AB220" s="24" t="n">
        <f aca="false">ROUND(100*(1-SQRT(((S220-'포지션 정의'!$N$2)^2+(T220-'포지션 정의'!$O$2)^2+(U220-'포지션 정의'!$P$2)^2)/3)/'판정 기준'!$B$7),0)</f>
        <v>80</v>
      </c>
      <c r="AC220" s="24" t="n">
        <f aca="false">ROUND(100*(1-SQRT(((S220-'포지션 정의'!$N$3)^2+(T220-'포지션 정의'!$O$3)^2+(U220-'포지션 정의'!$P$3)^2)/3)/'판정 기준'!$B$7),0)</f>
        <v>65</v>
      </c>
      <c r="AD220" s="24" t="n">
        <f aca="false">ROUND(100*(1-SQRT(((S220-'포지션 정의'!$N$4)^2+(T220-'포지션 정의'!$O$4)^2+(U220-'포지션 정의'!$P$4)^2)/3)/'판정 기준'!$B$7),0)</f>
        <v>65</v>
      </c>
      <c r="AE220" s="24" t="n">
        <f aca="false">ROUND(100*(1-SQRT(((S220-'포지션 정의'!$N$5)^2+(T220-'포지션 정의'!$O$5)^2+(U220-'포지션 정의'!$P$5)^2)/3)/'판정 기준'!$B$7),0)</f>
        <v>61</v>
      </c>
      <c r="AF220" s="24" t="n">
        <f aca="false">ROUND(100*(1-SQRT(((S220-'포지션 정의'!$N$6)^2+(T220-'포지션 정의'!$O$6)^2+(U220-'포지션 정의'!$P$6)^2)/3)/'판정 기준'!$B$7),0)</f>
        <v>75</v>
      </c>
      <c r="AG220" s="24" t="n">
        <f aca="false">ROUND(100*(1-SQRT(((S220-'포지션 정의'!$N$7)^2+(T220-'포지션 정의'!$O$7)^2+(U220-'포지션 정의'!$P$7)^2)/3)/'판정 기준'!$B$7),0)</f>
        <v>74</v>
      </c>
      <c r="AH220" s="24" t="n">
        <f aca="false">ROUND(100*(1-SQRT(((S220-'포지션 정의'!$N$8)^2+(T220-'포지션 정의'!$O$8)^2+(U220-'포지션 정의'!$P$8)^2)/3)/'판정 기준'!$B$7),0)</f>
        <v>81</v>
      </c>
      <c r="AI220" s="24" t="n">
        <f aca="false">ROUND(100*(1-SQRT(((S220-'포지션 정의'!$N$9)^2+(T220-'포지션 정의'!$O$9)^2+(U220-'포지션 정의'!$P$9)^2)/3)/'판정 기준'!$B$7),0)</f>
        <v>61</v>
      </c>
      <c r="AJ220" s="23" t="str">
        <f aca="false">IF(G220&gt;='판정 기준'!$B$8,"경기긴장도, ","")&amp;IF(Q220&gt;='판정 기준'!$B$8,"사회적 도움 활용, ","")&amp;IF(K220&gt;='판정 기준'!$B$8,"경기 준비 능력, ","")&amp;IF(N220&gt;='판정 기준'!$B$8,"실수 후 회복력, ","")&amp;IF(P220&gt;='판정 기준'!$B$8,"자기 통제력, ","")</f>
        <v/>
      </c>
      <c r="AK220" s="23" t="n">
        <f aca="false">IF(AND(G220&lt;'판정 기준'!$B$8,OR(AJ220&lt;&gt;"",AP220&lt;&gt;"경기긴장도")),G220,0)</f>
        <v>2.3</v>
      </c>
      <c r="AL220" s="23" t="n">
        <f aca="false">IF(AND(Q220&lt;'판정 기준'!$B$8,OR(AJ220&lt;&gt;"",AP220&lt;&gt;"사회적 도움 활용")),Q220,0)</f>
        <v>0</v>
      </c>
      <c r="AM220" s="23" t="n">
        <f aca="false">IF(AND(K220&lt;'판정 기준'!$B$8,OR(AJ220&lt;&gt;"",AP220&lt;&gt;"경기 준비 능력")),K220,0)</f>
        <v>4.4</v>
      </c>
      <c r="AN220" s="23" t="n">
        <f aca="false">IF(AND(N220&lt;'판정 기준'!$B$8,OR(AJ220&lt;&gt;"",AP220&lt;&gt;"실수 후 회복력")),N220,0)</f>
        <v>3.7</v>
      </c>
      <c r="AO220" s="23" t="n">
        <f aca="false">IF(AND(P220&lt;'판정 기준'!$B$8,OR(AJ220&lt;&gt;"",AP220&lt;&gt;"자기 통제력")),P220,0)</f>
        <v>3.5</v>
      </c>
      <c r="AP220" s="23" t="str">
        <f aca="false">IF(Q220=MAX(G220,Q220,K220,N220,P220),"사회적 도움 활용",IF(P220=MAX(G220,Q220,K220,N220,P220),"자기 통제력",IF(G220=MAX(G220,Q220,K220,N220,P220),"경기긴장도",IF(K220=MAX(G220,Q220,K220,N220,P220),"경기 준비 능력","실수 후 회복력"))))</f>
        <v>사회적 도움 활용</v>
      </c>
    </row>
    <row r="221" customFormat="false" ht="17.15" hidden="false" customHeight="false" outlineLevel="0" collapsed="false">
      <c r="A221" s="13" t="s">
        <v>441</v>
      </c>
      <c r="B221" s="13" t="s">
        <v>187</v>
      </c>
      <c r="C221" s="13" t="s">
        <v>335</v>
      </c>
      <c r="D221" s="14" t="n">
        <v>46161</v>
      </c>
      <c r="E221" s="41" t="s">
        <v>198</v>
      </c>
      <c r="F221" s="42" t="n">
        <v>3.8</v>
      </c>
      <c r="G221" s="42" t="n">
        <v>3.6</v>
      </c>
      <c r="H221" s="42" t="n">
        <v>3.7</v>
      </c>
      <c r="I221" s="42" t="n">
        <v>4.2</v>
      </c>
      <c r="J221" s="42" t="n">
        <v>3.7</v>
      </c>
      <c r="K221" s="42" t="n">
        <v>3.8</v>
      </c>
      <c r="L221" s="42" t="n">
        <v>3.5</v>
      </c>
      <c r="M221" s="42" t="n">
        <v>4.1</v>
      </c>
      <c r="N221" s="42" t="n">
        <v>3.4</v>
      </c>
      <c r="O221" s="42" t="n">
        <v>3</v>
      </c>
      <c r="P221" s="42" t="n">
        <v>4.5</v>
      </c>
      <c r="Q221" s="42" t="n">
        <v>3.8</v>
      </c>
      <c r="R221" s="42" t="n">
        <v>5.3</v>
      </c>
      <c r="S221" s="37" t="n">
        <f aca="false">AVERAGE(G221:J221)</f>
        <v>3.8</v>
      </c>
      <c r="T221" s="37" t="n">
        <f aca="false">AVERAGE(K221:M221)</f>
        <v>3.8</v>
      </c>
      <c r="U221" s="37" t="n">
        <f aca="false">AVERAGE(N221:O221)</f>
        <v>3.2</v>
      </c>
      <c r="V221" s="23" t="str">
        <f aca="false">IF(S221&gt;='판정 기준'!$B$3,"H","L")&amp;IF(T221&gt;='판정 기준'!$B$3,"H","L")&amp;IF(U221&gt;='판정 기준'!$B$3,"H","L")</f>
        <v>LLL</v>
      </c>
      <c r="W221" s="36" t="str">
        <f aca="false">INDEX('포지션 정의'!$A$2:$A$9,MATCH(V221,'포지션 정의'!$D$2:$D$9,0))</f>
        <v>G</v>
      </c>
      <c r="X221" s="36" t="str">
        <f aca="false">INDEX('포지션 정의'!$B$2:$B$9,MATCH(V221,'포지션 정의'!$D$2:$D$9,0))</f>
        <v>스펀지 흡수형</v>
      </c>
      <c r="Y221" s="43" t="str">
        <f aca="false">IF(AJ221="","가장 높은 지표: "&amp;AP221,LEFT(AJ221,LEN(AJ221)-2))</f>
        <v>가장 높은 지표: 자기 통제력</v>
      </c>
      <c r="Z221" s="43" t="str">
        <f aca="false">IF(MAX(AK221:AO221)=0,"심화: "&amp;IF(N221=MIN(G221,Q221,K221,N221,P221),"실수 후 회복력",IF(K221=MIN(G221,Q221,K221,N221,P221),"경기 준비 능력",IF(G221=MIN(G221,Q221,K221,N221,P221),"경기긴장도",IF(P221=MIN(G221,Q221,K221,N221,P221),"자기 통제력","사회적 도움 활용")))),IF(MAX(AK221:AO221)&gt;='판정 기준'!$B$8-'판정 기준'!$B$4,IF(AN221=MAX(AK221:AO221),"실수 후 회복력",IF(AM221=MAX(AK221:AO221),"경기 준비 능력",IF(AK221=MAX(AK221:AO221),"경기긴장도",IF(AO221=MAX(AK221:AO221),"자기 통제력","사회적 도움 활용")))),IF(AN221&gt;0,"실수 후 회복력",IF(AM221&gt;0,"경기 준비 능력",IF(AK221&gt;0,"경기긴장도",IF(AO221&gt;0,"자기 통제력","사회적 도움 활용"))))))</f>
        <v>실수 후 회복력</v>
      </c>
      <c r="AA221" s="43" t="str">
        <f aca="false">INDEX('포지션 정의'!$L$2:$L$9,MATCH(V221,'포지션 정의'!$D$2:$D$9,0))</f>
        <v>디디에 드로그바 · 앙투안 그리즈만 · 모하메드 살라</v>
      </c>
      <c r="AB221" s="24" t="n">
        <f aca="false">ROUND(100*(1-SQRT(((S221-'포지션 정의'!$N$2)^2+(T221-'포지션 정의'!$O$2)^2+(U221-'포지션 정의'!$P$2)^2)/3)/'판정 기준'!$B$7),0)</f>
        <v>82</v>
      </c>
      <c r="AC221" s="24" t="n">
        <f aca="false">ROUND(100*(1-SQRT(((S221-'포지션 정의'!$N$3)^2+(T221-'포지션 정의'!$O$3)^2+(U221-'포지션 정의'!$P$3)^2)/3)/'판정 기준'!$B$7),0)</f>
        <v>76</v>
      </c>
      <c r="AD221" s="24" t="n">
        <f aca="false">ROUND(100*(1-SQRT(((S221-'포지션 정의'!$N$4)^2+(T221-'포지션 정의'!$O$4)^2+(U221-'포지션 정의'!$P$4)^2)/3)/'판정 기준'!$B$7),0)</f>
        <v>82</v>
      </c>
      <c r="AE221" s="24" t="n">
        <f aca="false">ROUND(100*(1-SQRT(((S221-'포지션 정의'!$N$5)^2+(T221-'포지션 정의'!$O$5)^2+(U221-'포지션 정의'!$P$5)^2)/3)/'판정 기준'!$B$7),0)</f>
        <v>72</v>
      </c>
      <c r="AF221" s="24" t="n">
        <f aca="false">ROUND(100*(1-SQRT(((S221-'포지션 정의'!$N$6)^2+(T221-'포지션 정의'!$O$6)^2+(U221-'포지션 정의'!$P$6)^2)/3)/'판정 기준'!$B$7),0)</f>
        <v>77</v>
      </c>
      <c r="AG221" s="24" t="n">
        <f aca="false">ROUND(100*(1-SQRT(((S221-'포지션 정의'!$N$7)^2+(T221-'포지션 정의'!$O$7)^2+(U221-'포지션 정의'!$P$7)^2)/3)/'판정 기준'!$B$7),0)</f>
        <v>72</v>
      </c>
      <c r="AH221" s="24" t="n">
        <f aca="false">ROUND(100*(1-SQRT(((S221-'포지션 정의'!$N$8)^2+(T221-'포지션 정의'!$O$8)^2+(U221-'포지션 정의'!$P$8)^2)/3)/'판정 기준'!$B$7),0)</f>
        <v>93</v>
      </c>
      <c r="AI221" s="24" t="n">
        <f aca="false">ROUND(100*(1-SQRT(((S221-'포지션 정의'!$N$9)^2+(T221-'포지션 정의'!$O$9)^2+(U221-'포지션 정의'!$P$9)^2)/3)/'판정 기준'!$B$7),0)</f>
        <v>68</v>
      </c>
      <c r="AJ221" s="23" t="str">
        <f aca="false">IF(G221&gt;='판정 기준'!$B$8,"경기긴장도, ","")&amp;IF(Q221&gt;='판정 기준'!$B$8,"사회적 도움 활용, ","")&amp;IF(K221&gt;='판정 기준'!$B$8,"경기 준비 능력, ","")&amp;IF(N221&gt;='판정 기준'!$B$8,"실수 후 회복력, ","")&amp;IF(P221&gt;='판정 기준'!$B$8,"자기 통제력, ","")</f>
        <v/>
      </c>
      <c r="AK221" s="23" t="n">
        <f aca="false">IF(AND(G221&lt;'판정 기준'!$B$8,OR(AJ221&lt;&gt;"",AP221&lt;&gt;"경기긴장도")),G221,0)</f>
        <v>3.6</v>
      </c>
      <c r="AL221" s="23" t="n">
        <f aca="false">IF(AND(Q221&lt;'판정 기준'!$B$8,OR(AJ221&lt;&gt;"",AP221&lt;&gt;"사회적 도움 활용")),Q221,0)</f>
        <v>3.8</v>
      </c>
      <c r="AM221" s="23" t="n">
        <f aca="false">IF(AND(K221&lt;'판정 기준'!$B$8,OR(AJ221&lt;&gt;"",AP221&lt;&gt;"경기 준비 능력")),K221,0)</f>
        <v>3.8</v>
      </c>
      <c r="AN221" s="23" t="n">
        <f aca="false">IF(AND(N221&lt;'판정 기준'!$B$8,OR(AJ221&lt;&gt;"",AP221&lt;&gt;"실수 후 회복력")),N221,0)</f>
        <v>3.4</v>
      </c>
      <c r="AO221" s="23" t="n">
        <f aca="false">IF(AND(P221&lt;'판정 기준'!$B$8,OR(AJ221&lt;&gt;"",AP221&lt;&gt;"자기 통제력")),P221,0)</f>
        <v>0</v>
      </c>
      <c r="AP221" s="23" t="str">
        <f aca="false">IF(Q221=MAX(G221,Q221,K221,N221,P221),"사회적 도움 활용",IF(P221=MAX(G221,Q221,K221,N221,P221),"자기 통제력",IF(G221=MAX(G221,Q221,K221,N221,P221),"경기긴장도",IF(K221=MAX(G221,Q221,K221,N221,P221),"경기 준비 능력","실수 후 회복력"))))</f>
        <v>자기 통제력</v>
      </c>
    </row>
    <row r="222" customFormat="false" ht="17.15" hidden="false" customHeight="false" outlineLevel="0" collapsed="false">
      <c r="A222" s="13" t="s">
        <v>442</v>
      </c>
      <c r="B222" s="13" t="s">
        <v>187</v>
      </c>
      <c r="C222" s="13" t="s">
        <v>335</v>
      </c>
      <c r="D222" s="14" t="n">
        <v>46161</v>
      </c>
      <c r="E222" s="41" t="s">
        <v>195</v>
      </c>
      <c r="F222" s="42" t="n">
        <v>5.1</v>
      </c>
      <c r="G222" s="42" t="n">
        <v>4.8</v>
      </c>
      <c r="H222" s="42" t="n">
        <v>4.7</v>
      </c>
      <c r="I222" s="42" t="n">
        <v>5.8</v>
      </c>
      <c r="J222" s="42" t="n">
        <v>4.5</v>
      </c>
      <c r="K222" s="42" t="n">
        <v>5.6</v>
      </c>
      <c r="L222" s="42" t="n">
        <v>5.7</v>
      </c>
      <c r="M222" s="42" t="n">
        <v>5.6</v>
      </c>
      <c r="N222" s="42" t="n">
        <v>4.7</v>
      </c>
      <c r="O222" s="42" t="n">
        <v>5</v>
      </c>
      <c r="P222" s="42" t="n">
        <v>5.3</v>
      </c>
      <c r="Q222" s="42" t="n">
        <v>5.2</v>
      </c>
      <c r="R222" s="42" t="n">
        <v>5.7</v>
      </c>
      <c r="S222" s="37" t="n">
        <f aca="false">AVERAGE(G222:J222)</f>
        <v>4.95</v>
      </c>
      <c r="T222" s="37" t="n">
        <f aca="false">AVERAGE(K222:M222)</f>
        <v>5.63333333333333</v>
      </c>
      <c r="U222" s="37" t="n">
        <f aca="false">AVERAGE(N222:O222)</f>
        <v>4.85</v>
      </c>
      <c r="V222" s="23" t="str">
        <f aca="false">IF(S222&gt;='판정 기준'!$B$3,"H","L")&amp;IF(T222&gt;='판정 기준'!$B$3,"H","L")&amp;IF(U222&gt;='판정 기준'!$B$3,"H","L")</f>
        <v>HHH</v>
      </c>
      <c r="W222" s="36" t="str">
        <f aca="false">INDEX('포지션 정의'!$A$2:$A$9,MATCH(V222,'포지션 정의'!$D$2:$D$9,0))</f>
        <v>H</v>
      </c>
      <c r="X222" s="36" t="str">
        <f aca="false">INDEX('포지션 정의'!$B$2:$B$9,MATCH(V222,'포지션 정의'!$D$2:$D$9,0))</f>
        <v>올라운드 밸런스형</v>
      </c>
      <c r="Y222" s="43" t="str">
        <f aca="false">IF(AJ222="","가장 높은 지표: "&amp;AP222,LEFT(AJ222,LEN(AJ222)-2))</f>
        <v>경기긴장도, 사회적 도움 활용, 경기 준비 능력, 자기 통제력</v>
      </c>
      <c r="Z222" s="43" t="str">
        <f aca="false">IF(MAX(AK222:AO222)=0,"심화: "&amp;IF(N222=MIN(G222,Q222,K222,N222,P222),"실수 후 회복력",IF(K222=MIN(G222,Q222,K222,N222,P222),"경기 준비 능력",IF(G222=MIN(G222,Q222,K222,N222,P222),"경기긴장도",IF(P222=MIN(G222,Q222,K222,N222,P222),"자기 통제력","사회적 도움 활용")))),IF(MAX(AK222:AO222)&gt;='판정 기준'!$B$8-'판정 기준'!$B$4,IF(AN222=MAX(AK222:AO222),"실수 후 회복력",IF(AM222=MAX(AK222:AO222),"경기 준비 능력",IF(AK222=MAX(AK222:AO222),"경기긴장도",IF(AO222=MAX(AK222:AO222),"자기 통제력","사회적 도움 활용")))),IF(AN222&gt;0,"실수 후 회복력",IF(AM222&gt;0,"경기 준비 능력",IF(AK222&gt;0,"경기긴장도",IF(AO222&gt;0,"자기 통제력","사회적 도움 활용"))))))</f>
        <v>실수 후 회복력</v>
      </c>
      <c r="AA222" s="43" t="str">
        <f aca="false">INDEX('포지션 정의'!$L$2:$L$9,MATCH(V222,'포지션 정의'!$D$2:$D$9,0))</f>
        <v>크리스티아누 호날두 · 루카 모드리치 · 버질 반 다이크</v>
      </c>
      <c r="AB222" s="24" t="n">
        <f aca="false">ROUND(100*(1-SQRT(((S222-'포지션 정의'!$N$2)^2+(T222-'포지션 정의'!$O$2)^2+(U222-'포지션 정의'!$P$2)^2)/3)/'판정 기준'!$B$7),0)</f>
        <v>81</v>
      </c>
      <c r="AC222" s="24" t="n">
        <f aca="false">ROUND(100*(1-SQRT(((S222-'포지션 정의'!$N$3)^2+(T222-'포지션 정의'!$O$3)^2+(U222-'포지션 정의'!$P$3)^2)/3)/'판정 기준'!$B$7),0)</f>
        <v>87</v>
      </c>
      <c r="AD222" s="24" t="n">
        <f aca="false">ROUND(100*(1-SQRT(((S222-'포지션 정의'!$N$4)^2+(T222-'포지션 정의'!$O$4)^2+(U222-'포지션 정의'!$P$4)^2)/3)/'판정 기준'!$B$7),0)</f>
        <v>75</v>
      </c>
      <c r="AE222" s="24" t="n">
        <f aca="false">ROUND(100*(1-SQRT(((S222-'포지션 정의'!$N$5)^2+(T222-'포지션 정의'!$O$5)^2+(U222-'포지션 정의'!$P$5)^2)/3)/'판정 기준'!$B$7),0)</f>
        <v>78</v>
      </c>
      <c r="AF222" s="24" t="n">
        <f aca="false">ROUND(100*(1-SQRT(((S222-'포지션 정의'!$N$6)^2+(T222-'포지션 정의'!$O$6)^2+(U222-'포지션 정의'!$P$6)^2)/3)/'판정 기준'!$B$7),0)</f>
        <v>75</v>
      </c>
      <c r="AG222" s="24" t="n">
        <f aca="false">ROUND(100*(1-SQRT(((S222-'포지션 정의'!$N$7)^2+(T222-'포지션 정의'!$O$7)^2+(U222-'포지션 정의'!$P$7)^2)/3)/'판정 기준'!$B$7),0)</f>
        <v>85</v>
      </c>
      <c r="AH222" s="24" t="n">
        <f aca="false">ROUND(100*(1-SQRT(((S222-'포지션 정의'!$N$8)^2+(T222-'포지션 정의'!$O$8)^2+(U222-'포지션 정의'!$P$8)^2)/3)/'판정 기준'!$B$7),0)</f>
        <v>72</v>
      </c>
      <c r="AI222" s="24" t="n">
        <f aca="false">ROUND(100*(1-SQRT(((S222-'포지션 정의'!$N$9)^2+(T222-'포지션 정의'!$O$9)^2+(U222-'포지션 정의'!$P$9)^2)/3)/'판정 기준'!$B$7),0)</f>
        <v>93</v>
      </c>
      <c r="AJ222" s="23" t="str">
        <f aca="false">IF(G222&gt;='판정 기준'!$B$8,"경기긴장도, ","")&amp;IF(Q222&gt;='판정 기준'!$B$8,"사회적 도움 활용, ","")&amp;IF(K222&gt;='판정 기준'!$B$8,"경기 준비 능력, ","")&amp;IF(N222&gt;='판정 기준'!$B$8,"실수 후 회복력, ","")&amp;IF(P222&gt;='판정 기준'!$B$8,"자기 통제력, ","")</f>
        <v>경기긴장도, 사회적 도움 활용, 경기 준비 능력, 자기 통제력, </v>
      </c>
      <c r="AK222" s="23" t="n">
        <f aca="false">IF(AND(G222&lt;'판정 기준'!$B$8,OR(AJ222&lt;&gt;"",AP222&lt;&gt;"경기긴장도")),G222,0)</f>
        <v>0</v>
      </c>
      <c r="AL222" s="23" t="n">
        <f aca="false">IF(AND(Q222&lt;'판정 기준'!$B$8,OR(AJ222&lt;&gt;"",AP222&lt;&gt;"사회적 도움 활용")),Q222,0)</f>
        <v>0</v>
      </c>
      <c r="AM222" s="23" t="n">
        <f aca="false">IF(AND(K222&lt;'판정 기준'!$B$8,OR(AJ222&lt;&gt;"",AP222&lt;&gt;"경기 준비 능력")),K222,0)</f>
        <v>0</v>
      </c>
      <c r="AN222" s="23" t="n">
        <f aca="false">IF(AND(N222&lt;'판정 기준'!$B$8,OR(AJ222&lt;&gt;"",AP222&lt;&gt;"실수 후 회복력")),N222,0)</f>
        <v>4.7</v>
      </c>
      <c r="AO222" s="23" t="n">
        <f aca="false">IF(AND(P222&lt;'판정 기준'!$B$8,OR(AJ222&lt;&gt;"",AP222&lt;&gt;"자기 통제력")),P222,0)</f>
        <v>0</v>
      </c>
      <c r="AP222" s="23" t="str">
        <f aca="false">IF(Q222=MAX(G222,Q222,K222,N222,P222),"사회적 도움 활용",IF(P222=MAX(G222,Q222,K222,N222,P222),"자기 통제력",IF(G222=MAX(G222,Q222,K222,N222,P222),"경기긴장도",IF(K222=MAX(G222,Q222,K222,N222,P222),"경기 준비 능력","실수 후 회복력"))))</f>
        <v>경기 준비 능력</v>
      </c>
    </row>
    <row r="223" customFormat="false" ht="17.15" hidden="false" customHeight="false" outlineLevel="0" collapsed="false">
      <c r="A223" s="13" t="s">
        <v>443</v>
      </c>
      <c r="B223" s="13" t="s">
        <v>187</v>
      </c>
      <c r="C223" s="13" t="s">
        <v>335</v>
      </c>
      <c r="D223" s="14" t="n">
        <v>46140</v>
      </c>
      <c r="E223" s="41" t="s">
        <v>198</v>
      </c>
      <c r="F223" s="42" t="n">
        <v>5.1</v>
      </c>
      <c r="G223" s="42" t="n">
        <v>4.9</v>
      </c>
      <c r="H223" s="42" t="n">
        <v>4.7</v>
      </c>
      <c r="I223" s="42" t="n">
        <v>6</v>
      </c>
      <c r="J223" s="42" t="n">
        <v>4.7</v>
      </c>
      <c r="K223" s="42" t="n">
        <v>5.1</v>
      </c>
      <c r="L223" s="42" t="n">
        <v>5.2</v>
      </c>
      <c r="M223" s="42" t="n">
        <v>5</v>
      </c>
      <c r="N223" s="42" t="n">
        <v>5.3</v>
      </c>
      <c r="O223" s="42" t="n">
        <v>4.3</v>
      </c>
      <c r="P223" s="42" t="n">
        <v>5.2</v>
      </c>
      <c r="Q223" s="42" t="n">
        <v>5</v>
      </c>
      <c r="R223" s="42" t="n">
        <v>6</v>
      </c>
      <c r="S223" s="37" t="n">
        <f aca="false">AVERAGE(G223:J223)</f>
        <v>5.075</v>
      </c>
      <c r="T223" s="37" t="n">
        <f aca="false">AVERAGE(K223:M223)</f>
        <v>5.1</v>
      </c>
      <c r="U223" s="37" t="n">
        <f aca="false">AVERAGE(N223:O223)</f>
        <v>4.8</v>
      </c>
      <c r="V223" s="23" t="str">
        <f aca="false">IF(S223&gt;='판정 기준'!$B$3,"H","L")&amp;IF(T223&gt;='판정 기준'!$B$3,"H","L")&amp;IF(U223&gt;='판정 기준'!$B$3,"H","L")</f>
        <v>HHH</v>
      </c>
      <c r="W223" s="36" t="str">
        <f aca="false">INDEX('포지션 정의'!$A$2:$A$9,MATCH(V223,'포지션 정의'!$D$2:$D$9,0))</f>
        <v>H</v>
      </c>
      <c r="X223" s="36" t="str">
        <f aca="false">INDEX('포지션 정의'!$B$2:$B$9,MATCH(V223,'포지션 정의'!$D$2:$D$9,0))</f>
        <v>올라운드 밸런스형</v>
      </c>
      <c r="Y223" s="43" t="str">
        <f aca="false">IF(AJ223="","가장 높은 지표: "&amp;AP223,LEFT(AJ223,LEN(AJ223)-2))</f>
        <v>경기긴장도, 사회적 도움 활용, 경기 준비 능력, 실수 후 회복력, 자기 통제력</v>
      </c>
      <c r="Z223" s="43" t="str">
        <f aca="false">IF(MAX(AK223:AO223)=0,"심화: "&amp;IF(N223=MIN(G223,Q223,K223,N223,P223),"실수 후 회복력",IF(K223=MIN(G223,Q223,K223,N223,P223),"경기 준비 능력",IF(G223=MIN(G223,Q223,K223,N223,P223),"경기긴장도",IF(P223=MIN(G223,Q223,K223,N223,P223),"자기 통제력","사회적 도움 활용")))),IF(MAX(AK223:AO223)&gt;='판정 기준'!$B$8-'판정 기준'!$B$4,IF(AN223=MAX(AK223:AO223),"실수 후 회복력",IF(AM223=MAX(AK223:AO223),"경기 준비 능력",IF(AK223=MAX(AK223:AO223),"경기긴장도",IF(AO223=MAX(AK223:AO223),"자기 통제력","사회적 도움 활용")))),IF(AN223&gt;0,"실수 후 회복력",IF(AM223&gt;0,"경기 준비 능력",IF(AK223&gt;0,"경기긴장도",IF(AO223&gt;0,"자기 통제력","사회적 도움 활용"))))))</f>
        <v>심화: 경기긴장도</v>
      </c>
      <c r="AA223" s="43" t="str">
        <f aca="false">INDEX('포지션 정의'!$L$2:$L$9,MATCH(V223,'포지션 정의'!$D$2:$D$9,0))</f>
        <v>크리스티아누 호날두 · 루카 모드리치 · 버질 반 다이크</v>
      </c>
      <c r="AB223" s="24" t="n">
        <f aca="false">ROUND(100*(1-SQRT(((S223-'포지션 정의'!$N$2)^2+(T223-'포지션 정의'!$O$2)^2+(U223-'포지션 정의'!$P$2)^2)/3)/'판정 기준'!$B$7),0)</f>
        <v>81</v>
      </c>
      <c r="AC223" s="24" t="n">
        <f aca="false">ROUND(100*(1-SQRT(((S223-'포지션 정의'!$N$3)^2+(T223-'포지션 정의'!$O$3)^2+(U223-'포지션 정의'!$P$3)^2)/3)/'판정 기준'!$B$7),0)</f>
        <v>88</v>
      </c>
      <c r="AD223" s="24" t="n">
        <f aca="false">ROUND(100*(1-SQRT(((S223-'포지션 정의'!$N$4)^2+(T223-'포지션 정의'!$O$4)^2+(U223-'포지션 정의'!$P$4)^2)/3)/'판정 기준'!$B$7),0)</f>
        <v>81</v>
      </c>
      <c r="AE223" s="24" t="n">
        <f aca="false">ROUND(100*(1-SQRT(((S223-'포지션 정의'!$N$5)^2+(T223-'포지션 정의'!$O$5)^2+(U223-'포지션 정의'!$P$5)^2)/3)/'판정 기준'!$B$7),0)</f>
        <v>84</v>
      </c>
      <c r="AF223" s="24" t="n">
        <f aca="false">ROUND(100*(1-SQRT(((S223-'포지션 정의'!$N$6)^2+(T223-'포지션 정의'!$O$6)^2+(U223-'포지션 정의'!$P$6)^2)/3)/'판정 기준'!$B$7),0)</f>
        <v>78</v>
      </c>
      <c r="AG223" s="24" t="n">
        <f aca="false">ROUND(100*(1-SQRT(((S223-'포지션 정의'!$N$7)^2+(T223-'포지션 정의'!$O$7)^2+(U223-'포지션 정의'!$P$7)^2)/3)/'판정 기준'!$B$7),0)</f>
        <v>85</v>
      </c>
      <c r="AH223" s="24" t="n">
        <f aca="false">ROUND(100*(1-SQRT(((S223-'포지션 정의'!$N$8)^2+(T223-'포지션 정의'!$O$8)^2+(U223-'포지션 정의'!$P$8)^2)/3)/'판정 기준'!$B$7),0)</f>
        <v>76</v>
      </c>
      <c r="AI223" s="24" t="n">
        <f aca="false">ROUND(100*(1-SQRT(((S223-'포지션 정의'!$N$9)^2+(T223-'포지션 정의'!$O$9)^2+(U223-'포지션 정의'!$P$9)^2)/3)/'판정 기준'!$B$7),0)</f>
        <v>95</v>
      </c>
      <c r="AJ223" s="23" t="str">
        <f aca="false">IF(G223&gt;='판정 기준'!$B$8,"경기긴장도, ","")&amp;IF(Q223&gt;='판정 기준'!$B$8,"사회적 도움 활용, ","")&amp;IF(K223&gt;='판정 기준'!$B$8,"경기 준비 능력, ","")&amp;IF(N223&gt;='판정 기준'!$B$8,"실수 후 회복력, ","")&amp;IF(P223&gt;='판정 기준'!$B$8,"자기 통제력, ","")</f>
        <v>경기긴장도, 사회적 도움 활용, 경기 준비 능력, 실수 후 회복력, 자기 통제력, </v>
      </c>
      <c r="AK223" s="23" t="n">
        <f aca="false">IF(AND(G223&lt;'판정 기준'!$B$8,OR(AJ223&lt;&gt;"",AP223&lt;&gt;"경기긴장도")),G223,0)</f>
        <v>0</v>
      </c>
      <c r="AL223" s="23" t="n">
        <f aca="false">IF(AND(Q223&lt;'판정 기준'!$B$8,OR(AJ223&lt;&gt;"",AP223&lt;&gt;"사회적 도움 활용")),Q223,0)</f>
        <v>0</v>
      </c>
      <c r="AM223" s="23" t="n">
        <f aca="false">IF(AND(K223&lt;'판정 기준'!$B$8,OR(AJ223&lt;&gt;"",AP223&lt;&gt;"경기 준비 능력")),K223,0)</f>
        <v>0</v>
      </c>
      <c r="AN223" s="23" t="n">
        <f aca="false">IF(AND(N223&lt;'판정 기준'!$B$8,OR(AJ223&lt;&gt;"",AP223&lt;&gt;"실수 후 회복력")),N223,0)</f>
        <v>0</v>
      </c>
      <c r="AO223" s="23" t="n">
        <f aca="false">IF(AND(P223&lt;'판정 기준'!$B$8,OR(AJ223&lt;&gt;"",AP223&lt;&gt;"자기 통제력")),P223,0)</f>
        <v>0</v>
      </c>
      <c r="AP223" s="23" t="str">
        <f aca="false">IF(Q223=MAX(G223,Q223,K223,N223,P223),"사회적 도움 활용",IF(P223=MAX(G223,Q223,K223,N223,P223),"자기 통제력",IF(G223=MAX(G223,Q223,K223,N223,P223),"경기긴장도",IF(K223=MAX(G223,Q223,K223,N223,P223),"경기 준비 능력","실수 후 회복력"))))</f>
        <v>실수 후 회복력</v>
      </c>
    </row>
    <row r="224" customFormat="false" ht="17.15" hidden="false" customHeight="false" outlineLevel="0" collapsed="false">
      <c r="A224" s="13" t="s">
        <v>444</v>
      </c>
      <c r="B224" s="13" t="s">
        <v>187</v>
      </c>
      <c r="C224" s="13" t="s">
        <v>335</v>
      </c>
      <c r="D224" s="14" t="n">
        <v>46101</v>
      </c>
      <c r="E224" s="41" t="s">
        <v>198</v>
      </c>
      <c r="F224" s="42" t="n">
        <v>4.4</v>
      </c>
      <c r="G224" s="42" t="n">
        <v>5.2</v>
      </c>
      <c r="H224" s="42" t="n">
        <v>5</v>
      </c>
      <c r="I224" s="42" t="n">
        <v>5.8</v>
      </c>
      <c r="J224" s="42" t="n">
        <v>5.2</v>
      </c>
      <c r="K224" s="42" t="n">
        <v>4.2</v>
      </c>
      <c r="L224" s="42" t="n">
        <v>4.5</v>
      </c>
      <c r="M224" s="42" t="n">
        <v>4.1</v>
      </c>
      <c r="N224" s="42" t="n">
        <v>4.4</v>
      </c>
      <c r="O224" s="42" t="n">
        <v>5.7</v>
      </c>
      <c r="P224" s="42" t="n">
        <v>4</v>
      </c>
      <c r="Q224" s="42" t="n">
        <v>5.8</v>
      </c>
      <c r="R224" s="42" t="n">
        <v>4.7</v>
      </c>
      <c r="S224" s="37" t="n">
        <f aca="false">AVERAGE(G224:J224)</f>
        <v>5.3</v>
      </c>
      <c r="T224" s="37" t="n">
        <f aca="false">AVERAGE(K224:M224)</f>
        <v>4.26666666666667</v>
      </c>
      <c r="U224" s="37" t="n">
        <f aca="false">AVERAGE(N224:O224)</f>
        <v>5.05</v>
      </c>
      <c r="V224" s="23" t="str">
        <f aca="false">IF(S224&gt;='판정 기준'!$B$3,"H","L")&amp;IF(T224&gt;='판정 기준'!$B$3,"H","L")&amp;IF(U224&gt;='판정 기준'!$B$3,"H","L")</f>
        <v>HLH</v>
      </c>
      <c r="W224" s="36" t="str">
        <f aca="false">INDEX('포지션 정의'!$A$2:$A$9,MATCH(V224,'포지션 정의'!$D$2:$D$9,0))</f>
        <v>D</v>
      </c>
      <c r="X224" s="36" t="str">
        <f aca="false">INDEX('포지션 정의'!$B$2:$B$9,MATCH(V224,'포지션 정의'!$D$2:$D$9,0))</f>
        <v>실전 승부사형</v>
      </c>
      <c r="Y224" s="43" t="str">
        <f aca="false">IF(AJ224="","가장 높은 지표: "&amp;AP224,LEFT(AJ224,LEN(AJ224)-2))</f>
        <v>경기긴장도, 사회적 도움 활용</v>
      </c>
      <c r="Z224" s="43" t="str">
        <f aca="false">IF(MAX(AK224:AO224)=0,"심화: "&amp;IF(N224=MIN(G224,Q224,K224,N224,P224),"실수 후 회복력",IF(K224=MIN(G224,Q224,K224,N224,P224),"경기 준비 능력",IF(G224=MIN(G224,Q224,K224,N224,P224),"경기긴장도",IF(P224=MIN(G224,Q224,K224,N224,P224),"자기 통제력","사회적 도움 활용")))),IF(MAX(AK224:AO224)&gt;='판정 기준'!$B$8-'판정 기준'!$B$4,IF(AN224=MAX(AK224:AO224),"실수 후 회복력",IF(AM224=MAX(AK224:AO224),"경기 준비 능력",IF(AK224=MAX(AK224:AO224),"경기긴장도",IF(AO224=MAX(AK224:AO224),"자기 통제력","사회적 도움 활용")))),IF(AN224&gt;0,"실수 후 회복력",IF(AM224&gt;0,"경기 준비 능력",IF(AK224&gt;0,"경기긴장도",IF(AO224&gt;0,"자기 통제력","사회적 도움 활용"))))))</f>
        <v>실수 후 회복력</v>
      </c>
      <c r="AA224" s="43" t="str">
        <f aca="false">INDEX('포지션 정의'!$L$2:$L$9,MATCH(V224,'포지션 정의'!$D$2:$D$9,0))</f>
        <v>즐라탄 이브라히모비치 · 호나우지뉴 · 디에고 마라도나</v>
      </c>
      <c r="AB224" s="24" t="n">
        <f aca="false">ROUND(100*(1-SQRT(((S224-'포지션 정의'!$N$2)^2+(T224-'포지션 정의'!$O$2)^2+(U224-'포지션 정의'!$P$2)^2)/3)/'판정 기준'!$B$7),0)</f>
        <v>75</v>
      </c>
      <c r="AC224" s="24" t="n">
        <f aca="false">ROUND(100*(1-SQRT(((S224-'포지션 정의'!$N$3)^2+(T224-'포지션 정의'!$O$3)^2+(U224-'포지션 정의'!$P$3)^2)/3)/'판정 기준'!$B$7),0)</f>
        <v>82</v>
      </c>
      <c r="AD224" s="24" t="n">
        <f aca="false">ROUND(100*(1-SQRT(((S224-'포지션 정의'!$N$4)^2+(T224-'포지션 정의'!$O$4)^2+(U224-'포지션 정의'!$P$4)^2)/3)/'판정 기준'!$B$7),0)</f>
        <v>85</v>
      </c>
      <c r="AE224" s="24" t="n">
        <f aca="false">ROUND(100*(1-SQRT(((S224-'포지션 정의'!$N$5)^2+(T224-'포지션 정의'!$O$5)^2+(U224-'포지션 정의'!$P$5)^2)/3)/'판정 기준'!$B$7),0)</f>
        <v>94</v>
      </c>
      <c r="AF224" s="24" t="n">
        <f aca="false">ROUND(100*(1-SQRT(((S224-'포지션 정의'!$N$6)^2+(T224-'포지션 정의'!$O$6)^2+(U224-'포지션 정의'!$P$6)^2)/3)/'판정 기준'!$B$7),0)</f>
        <v>82</v>
      </c>
      <c r="AG224" s="24" t="n">
        <f aca="false">ROUND(100*(1-SQRT(((S224-'포지션 정의'!$N$7)^2+(T224-'포지션 정의'!$O$7)^2+(U224-'포지션 정의'!$P$7)^2)/3)/'판정 기준'!$B$7),0)</f>
        <v>80</v>
      </c>
      <c r="AH224" s="24" t="n">
        <f aca="false">ROUND(100*(1-SQRT(((S224-'포지션 정의'!$N$8)^2+(T224-'포지션 정의'!$O$8)^2+(U224-'포지션 정의'!$P$8)^2)/3)/'판정 기준'!$B$7),0)</f>
        <v>77</v>
      </c>
      <c r="AI224" s="24" t="n">
        <f aca="false">ROUND(100*(1-SQRT(((S224-'포지션 정의'!$N$9)^2+(T224-'포지션 정의'!$O$9)^2+(U224-'포지션 정의'!$P$9)^2)/3)/'판정 기준'!$B$7),0)</f>
        <v>89</v>
      </c>
      <c r="AJ224" s="23" t="str">
        <f aca="false">IF(G224&gt;='판정 기준'!$B$8,"경기긴장도, ","")&amp;IF(Q224&gt;='판정 기준'!$B$8,"사회적 도움 활용, ","")&amp;IF(K224&gt;='판정 기준'!$B$8,"경기 준비 능력, ","")&amp;IF(N224&gt;='판정 기준'!$B$8,"실수 후 회복력, ","")&amp;IF(P224&gt;='판정 기준'!$B$8,"자기 통제력, ","")</f>
        <v>경기긴장도, 사회적 도움 활용, </v>
      </c>
      <c r="AK224" s="23" t="n">
        <f aca="false">IF(AND(G224&lt;'판정 기준'!$B$8,OR(AJ224&lt;&gt;"",AP224&lt;&gt;"경기긴장도")),G224,0)</f>
        <v>0</v>
      </c>
      <c r="AL224" s="23" t="n">
        <f aca="false">IF(AND(Q224&lt;'판정 기준'!$B$8,OR(AJ224&lt;&gt;"",AP224&lt;&gt;"사회적 도움 활용")),Q224,0)</f>
        <v>0</v>
      </c>
      <c r="AM224" s="23" t="n">
        <f aca="false">IF(AND(K224&lt;'판정 기준'!$B$8,OR(AJ224&lt;&gt;"",AP224&lt;&gt;"경기 준비 능력")),K224,0)</f>
        <v>4.2</v>
      </c>
      <c r="AN224" s="23" t="n">
        <f aca="false">IF(AND(N224&lt;'판정 기준'!$B$8,OR(AJ224&lt;&gt;"",AP224&lt;&gt;"실수 후 회복력")),N224,0)</f>
        <v>4.4</v>
      </c>
      <c r="AO224" s="23" t="n">
        <f aca="false">IF(AND(P224&lt;'판정 기준'!$B$8,OR(AJ224&lt;&gt;"",AP224&lt;&gt;"자기 통제력")),P224,0)</f>
        <v>4</v>
      </c>
      <c r="AP224" s="23" t="str">
        <f aca="false">IF(Q224=MAX(G224,Q224,K224,N224,P224),"사회적 도움 활용",IF(P224=MAX(G224,Q224,K224,N224,P224),"자기 통제력",IF(G224=MAX(G224,Q224,K224,N224,P224),"경기긴장도",IF(K224=MAX(G224,Q224,K224,N224,P224),"경기 준비 능력","실수 후 회복력"))))</f>
        <v>사회적 도움 활용</v>
      </c>
    </row>
    <row r="225" customFormat="false" ht="17.15" hidden="false" customHeight="false" outlineLevel="0" collapsed="false">
      <c r="A225" s="13" t="s">
        <v>445</v>
      </c>
      <c r="B225" s="13" t="s">
        <v>187</v>
      </c>
      <c r="C225" s="13" t="s">
        <v>335</v>
      </c>
      <c r="D225" s="14" t="n">
        <v>46101</v>
      </c>
      <c r="E225" s="41" t="s">
        <v>198</v>
      </c>
      <c r="F225" s="42" t="n">
        <v>4.1</v>
      </c>
      <c r="G225" s="42" t="n">
        <v>4</v>
      </c>
      <c r="H225" s="42" t="n">
        <v>4.5</v>
      </c>
      <c r="I225" s="42" t="n">
        <v>4.4</v>
      </c>
      <c r="J225" s="42" t="n">
        <v>4.3</v>
      </c>
      <c r="K225" s="42" t="n">
        <v>4</v>
      </c>
      <c r="L225" s="42" t="n">
        <v>4</v>
      </c>
      <c r="M225" s="42" t="n">
        <v>4.4</v>
      </c>
      <c r="N225" s="42" t="n">
        <v>3.8</v>
      </c>
      <c r="O225" s="42" t="n">
        <v>3.2</v>
      </c>
      <c r="P225" s="42" t="n">
        <v>4.2</v>
      </c>
      <c r="Q225" s="42" t="n">
        <v>4.1</v>
      </c>
      <c r="R225" s="42" t="n">
        <v>5.7</v>
      </c>
      <c r="S225" s="37" t="n">
        <f aca="false">AVERAGE(G225:J225)</f>
        <v>4.3</v>
      </c>
      <c r="T225" s="37" t="n">
        <f aca="false">AVERAGE(K225:M225)</f>
        <v>4.13333333333333</v>
      </c>
      <c r="U225" s="37" t="n">
        <f aca="false">AVERAGE(N225:O225)</f>
        <v>3.5</v>
      </c>
      <c r="V225" s="23" t="str">
        <f aca="false">IF(S225&gt;='판정 기준'!$B$3,"H","L")&amp;IF(T225&gt;='판정 기준'!$B$3,"H","L")&amp;IF(U225&gt;='판정 기준'!$B$3,"H","L")</f>
        <v>LLL</v>
      </c>
      <c r="W225" s="36" t="str">
        <f aca="false">INDEX('포지션 정의'!$A$2:$A$9,MATCH(V225,'포지션 정의'!$D$2:$D$9,0))</f>
        <v>G</v>
      </c>
      <c r="X225" s="36" t="str">
        <f aca="false">INDEX('포지션 정의'!$B$2:$B$9,MATCH(V225,'포지션 정의'!$D$2:$D$9,0))</f>
        <v>스펀지 흡수형</v>
      </c>
      <c r="Y225" s="43" t="str">
        <f aca="false">IF(AJ225="","가장 높은 지표: "&amp;AP225,LEFT(AJ225,LEN(AJ225)-2))</f>
        <v>가장 높은 지표: 자기 통제력</v>
      </c>
      <c r="Z225" s="43" t="str">
        <f aca="false">IF(MAX(AK225:AO225)=0,"심화: "&amp;IF(N225=MIN(G225,Q225,K225,N225,P225),"실수 후 회복력",IF(K225=MIN(G225,Q225,K225,N225,P225),"경기 준비 능력",IF(G225=MIN(G225,Q225,K225,N225,P225),"경기긴장도",IF(P225=MIN(G225,Q225,K225,N225,P225),"자기 통제력","사회적 도움 활용")))),IF(MAX(AK225:AO225)&gt;='판정 기준'!$B$8-'판정 기준'!$B$4,IF(AN225=MAX(AK225:AO225),"실수 후 회복력",IF(AM225=MAX(AK225:AO225),"경기 준비 능력",IF(AK225=MAX(AK225:AO225),"경기긴장도",IF(AO225=MAX(AK225:AO225),"자기 통제력","사회적 도움 활용")))),IF(AN225&gt;0,"실수 후 회복력",IF(AM225&gt;0,"경기 준비 능력",IF(AK225&gt;0,"경기긴장도",IF(AO225&gt;0,"자기 통제력","사회적 도움 활용"))))))</f>
        <v>실수 후 회복력</v>
      </c>
      <c r="AA225" s="43" t="str">
        <f aca="false">INDEX('포지션 정의'!$L$2:$L$9,MATCH(V225,'포지션 정의'!$D$2:$D$9,0))</f>
        <v>디디에 드로그바 · 앙투안 그리즈만 · 모하메드 살라</v>
      </c>
      <c r="AB225" s="24" t="n">
        <f aca="false">ROUND(100*(1-SQRT(((S225-'포지션 정의'!$N$2)^2+(T225-'포지션 정의'!$O$2)^2+(U225-'포지션 정의'!$P$2)^2)/3)/'판정 기준'!$B$7),0)</f>
        <v>86</v>
      </c>
      <c r="AC225" s="24" t="n">
        <f aca="false">ROUND(100*(1-SQRT(((S225-'포지션 정의'!$N$3)^2+(T225-'포지션 정의'!$O$3)^2+(U225-'포지션 정의'!$P$3)^2)/3)/'판정 기준'!$B$7),0)</f>
        <v>84</v>
      </c>
      <c r="AD225" s="24" t="n">
        <f aca="false">ROUND(100*(1-SQRT(((S225-'포지션 정의'!$N$4)^2+(T225-'포지션 정의'!$O$4)^2+(U225-'포지션 정의'!$P$4)^2)/3)/'판정 기준'!$B$7),0)</f>
        <v>88</v>
      </c>
      <c r="AE225" s="24" t="n">
        <f aca="false">ROUND(100*(1-SQRT(((S225-'포지션 정의'!$N$5)^2+(T225-'포지션 정의'!$O$5)^2+(U225-'포지션 정의'!$P$5)^2)/3)/'판정 기준'!$B$7),0)</f>
        <v>77</v>
      </c>
      <c r="AF225" s="24" t="n">
        <f aca="false">ROUND(100*(1-SQRT(((S225-'포지션 정의'!$N$6)^2+(T225-'포지션 정의'!$O$6)^2+(U225-'포지션 정의'!$P$6)^2)/3)/'판정 기준'!$B$7),0)</f>
        <v>79</v>
      </c>
      <c r="AG225" s="24" t="n">
        <f aca="false">ROUND(100*(1-SQRT(((S225-'포지션 정의'!$N$7)^2+(T225-'포지션 정의'!$O$7)^2+(U225-'포지션 정의'!$P$7)^2)/3)/'판정 기준'!$B$7),0)</f>
        <v>76</v>
      </c>
      <c r="AH225" s="24" t="n">
        <f aca="false">ROUND(100*(1-SQRT(((S225-'포지션 정의'!$N$8)^2+(T225-'포지션 정의'!$O$8)^2+(U225-'포지션 정의'!$P$8)^2)/3)/'판정 기준'!$B$7),0)</f>
        <v>92</v>
      </c>
      <c r="AI225" s="24" t="n">
        <f aca="false">ROUND(100*(1-SQRT(((S225-'포지션 정의'!$N$9)^2+(T225-'포지션 정의'!$O$9)^2+(U225-'포지션 정의'!$P$9)^2)/3)/'판정 기준'!$B$7),0)</f>
        <v>75</v>
      </c>
      <c r="AJ225" s="23" t="str">
        <f aca="false">IF(G225&gt;='판정 기준'!$B$8,"경기긴장도, ","")&amp;IF(Q225&gt;='판정 기준'!$B$8,"사회적 도움 활용, ","")&amp;IF(K225&gt;='판정 기준'!$B$8,"경기 준비 능력, ","")&amp;IF(N225&gt;='판정 기준'!$B$8,"실수 후 회복력, ","")&amp;IF(P225&gt;='판정 기준'!$B$8,"자기 통제력, ","")</f>
        <v/>
      </c>
      <c r="AK225" s="23" t="n">
        <f aca="false">IF(AND(G225&lt;'판정 기준'!$B$8,OR(AJ225&lt;&gt;"",AP225&lt;&gt;"경기긴장도")),G225,0)</f>
        <v>4</v>
      </c>
      <c r="AL225" s="23" t="n">
        <f aca="false">IF(AND(Q225&lt;'판정 기준'!$B$8,OR(AJ225&lt;&gt;"",AP225&lt;&gt;"사회적 도움 활용")),Q225,0)</f>
        <v>4.1</v>
      </c>
      <c r="AM225" s="23" t="n">
        <f aca="false">IF(AND(K225&lt;'판정 기준'!$B$8,OR(AJ225&lt;&gt;"",AP225&lt;&gt;"경기 준비 능력")),K225,0)</f>
        <v>4</v>
      </c>
      <c r="AN225" s="23" t="n">
        <f aca="false">IF(AND(N225&lt;'판정 기준'!$B$8,OR(AJ225&lt;&gt;"",AP225&lt;&gt;"실수 후 회복력")),N225,0)</f>
        <v>3.8</v>
      </c>
      <c r="AO225" s="23" t="n">
        <f aca="false">IF(AND(P225&lt;'판정 기준'!$B$8,OR(AJ225&lt;&gt;"",AP225&lt;&gt;"자기 통제력")),P225,0)</f>
        <v>0</v>
      </c>
      <c r="AP225" s="23" t="str">
        <f aca="false">IF(Q225=MAX(G225,Q225,K225,N225,P225),"사회적 도움 활용",IF(P225=MAX(G225,Q225,K225,N225,P225),"자기 통제력",IF(G225=MAX(G225,Q225,K225,N225,P225),"경기긴장도",IF(K225=MAX(G225,Q225,K225,N225,P225),"경기 준비 능력","실수 후 회복력"))))</f>
        <v>자기 통제력</v>
      </c>
    </row>
    <row r="226" customFormat="false" ht="17.15" hidden="false" customHeight="false" outlineLevel="0" collapsed="false">
      <c r="A226" s="13" t="s">
        <v>286</v>
      </c>
      <c r="B226" s="13" t="s">
        <v>187</v>
      </c>
      <c r="C226" s="13" t="s">
        <v>335</v>
      </c>
      <c r="D226" s="14" t="n">
        <v>46161</v>
      </c>
      <c r="E226" s="41" t="s">
        <v>198</v>
      </c>
      <c r="F226" s="42" t="n">
        <v>5.4</v>
      </c>
      <c r="G226" s="42" t="n">
        <v>5.2</v>
      </c>
      <c r="H226" s="42" t="n">
        <v>5.3</v>
      </c>
      <c r="I226" s="42" t="n">
        <v>5.8</v>
      </c>
      <c r="J226" s="42" t="n">
        <v>5</v>
      </c>
      <c r="K226" s="42" t="n">
        <v>5.1</v>
      </c>
      <c r="L226" s="42" t="n">
        <v>5</v>
      </c>
      <c r="M226" s="42" t="n">
        <v>5.1</v>
      </c>
      <c r="N226" s="42" t="n">
        <v>5.9</v>
      </c>
      <c r="O226" s="42" t="n">
        <v>6</v>
      </c>
      <c r="P226" s="42" t="n">
        <v>5.5</v>
      </c>
      <c r="Q226" s="42" t="n">
        <v>5.8</v>
      </c>
      <c r="R226" s="42" t="n">
        <v>6</v>
      </c>
      <c r="S226" s="37" t="n">
        <f aca="false">AVERAGE(G226:J226)</f>
        <v>5.325</v>
      </c>
      <c r="T226" s="37" t="n">
        <f aca="false">AVERAGE(K226:M226)</f>
        <v>5.06666666666667</v>
      </c>
      <c r="U226" s="37" t="n">
        <f aca="false">AVERAGE(N226:O226)</f>
        <v>5.95</v>
      </c>
      <c r="V226" s="23" t="str">
        <f aca="false">IF(S226&gt;='판정 기준'!$B$3,"H","L")&amp;IF(T226&gt;='판정 기준'!$B$3,"H","L")&amp;IF(U226&gt;='판정 기준'!$B$3,"H","L")</f>
        <v>HHH</v>
      </c>
      <c r="W226" s="36" t="str">
        <f aca="false">INDEX('포지션 정의'!$A$2:$A$9,MATCH(V226,'포지션 정의'!$D$2:$D$9,0))</f>
        <v>H</v>
      </c>
      <c r="X226" s="36" t="str">
        <f aca="false">INDEX('포지션 정의'!$B$2:$B$9,MATCH(V226,'포지션 정의'!$D$2:$D$9,0))</f>
        <v>올라운드 밸런스형</v>
      </c>
      <c r="Y226" s="43" t="str">
        <f aca="false">IF(AJ226="","가장 높은 지표: "&amp;AP226,LEFT(AJ226,LEN(AJ226)-2))</f>
        <v>경기긴장도, 사회적 도움 활용, 경기 준비 능력, 실수 후 회복력, 자기 통제력</v>
      </c>
      <c r="Z226" s="43" t="str">
        <f aca="false">IF(MAX(AK226:AO226)=0,"심화: "&amp;IF(N226=MIN(G226,Q226,K226,N226,P226),"실수 후 회복력",IF(K226=MIN(G226,Q226,K226,N226,P226),"경기 준비 능력",IF(G226=MIN(G226,Q226,K226,N226,P226),"경기긴장도",IF(P226=MIN(G226,Q226,K226,N226,P226),"자기 통제력","사회적 도움 활용")))),IF(MAX(AK226:AO226)&gt;='판정 기준'!$B$8-'판정 기준'!$B$4,IF(AN226=MAX(AK226:AO226),"실수 후 회복력",IF(AM226=MAX(AK226:AO226),"경기 준비 능력",IF(AK226=MAX(AK226:AO226),"경기긴장도",IF(AO226=MAX(AK226:AO226),"자기 통제력","사회적 도움 활용")))),IF(AN226&gt;0,"실수 후 회복력",IF(AM226&gt;0,"경기 준비 능력",IF(AK226&gt;0,"경기긴장도",IF(AO226&gt;0,"자기 통제력","사회적 도움 활용"))))))</f>
        <v>심화: 경기 준비 능력</v>
      </c>
      <c r="AA226" s="43" t="str">
        <f aca="false">INDEX('포지션 정의'!$L$2:$L$9,MATCH(V226,'포지션 정의'!$D$2:$D$9,0))</f>
        <v>크리스티아누 호날두 · 루카 모드리치 · 버질 반 다이크</v>
      </c>
      <c r="AB226" s="24" t="n">
        <f aca="false">ROUND(100*(1-SQRT(((S226-'포지션 정의'!$N$2)^2+(T226-'포지션 정의'!$O$2)^2+(U226-'포지션 정의'!$P$2)^2)/3)/'판정 기준'!$B$7),0)</f>
        <v>70</v>
      </c>
      <c r="AC226" s="24" t="n">
        <f aca="false">ROUND(100*(1-SQRT(((S226-'포지션 정의'!$N$3)^2+(T226-'포지션 정의'!$O$3)^2+(U226-'포지션 정의'!$P$3)^2)/3)/'판정 기준'!$B$7),0)</f>
        <v>75</v>
      </c>
      <c r="AD226" s="24" t="n">
        <f aca="false">ROUND(100*(1-SQRT(((S226-'포지션 정의'!$N$4)^2+(T226-'포지션 정의'!$O$4)^2+(U226-'포지션 정의'!$P$4)^2)/3)/'판정 기준'!$B$7),0)</f>
        <v>71</v>
      </c>
      <c r="AE226" s="24" t="n">
        <f aca="false">ROUND(100*(1-SQRT(((S226-'포지션 정의'!$N$5)^2+(T226-'포지션 정의'!$O$5)^2+(U226-'포지션 정의'!$P$5)^2)/3)/'판정 기준'!$B$7),0)</f>
        <v>83</v>
      </c>
      <c r="AF226" s="24" t="n">
        <f aca="false">ROUND(100*(1-SQRT(((S226-'포지션 정의'!$N$6)^2+(T226-'포지션 정의'!$O$6)^2+(U226-'포지션 정의'!$P$6)^2)/3)/'판정 기준'!$B$7),0)</f>
        <v>76</v>
      </c>
      <c r="AG226" s="24" t="n">
        <f aca="false">ROUND(100*(1-SQRT(((S226-'포지션 정의'!$N$7)^2+(T226-'포지션 정의'!$O$7)^2+(U226-'포지션 정의'!$P$7)^2)/3)/'판정 기준'!$B$7),0)</f>
        <v>80</v>
      </c>
      <c r="AH226" s="24" t="n">
        <f aca="false">ROUND(100*(1-SQRT(((S226-'포지션 정의'!$N$8)^2+(T226-'포지션 정의'!$O$8)^2+(U226-'포지션 정의'!$P$8)^2)/3)/'판정 기준'!$B$7),0)</f>
        <v>66</v>
      </c>
      <c r="AI226" s="24" t="n">
        <f aca="false">ROUND(100*(1-SQRT(((S226-'포지션 정의'!$N$9)^2+(T226-'포지션 정의'!$O$9)^2+(U226-'포지션 정의'!$P$9)^2)/3)/'판정 기준'!$B$7),0)</f>
        <v>91</v>
      </c>
      <c r="AJ226" s="23" t="str">
        <f aca="false">IF(G226&gt;='판정 기준'!$B$8,"경기긴장도, ","")&amp;IF(Q226&gt;='판정 기준'!$B$8,"사회적 도움 활용, ","")&amp;IF(K226&gt;='판정 기준'!$B$8,"경기 준비 능력, ","")&amp;IF(N226&gt;='판정 기준'!$B$8,"실수 후 회복력, ","")&amp;IF(P226&gt;='판정 기준'!$B$8,"자기 통제력, ","")</f>
        <v>경기긴장도, 사회적 도움 활용, 경기 준비 능력, 실수 후 회복력, 자기 통제력, </v>
      </c>
      <c r="AK226" s="23" t="n">
        <f aca="false">IF(AND(G226&lt;'판정 기준'!$B$8,OR(AJ226&lt;&gt;"",AP226&lt;&gt;"경기긴장도")),G226,0)</f>
        <v>0</v>
      </c>
      <c r="AL226" s="23" t="n">
        <f aca="false">IF(AND(Q226&lt;'판정 기준'!$B$8,OR(AJ226&lt;&gt;"",AP226&lt;&gt;"사회적 도움 활용")),Q226,0)</f>
        <v>0</v>
      </c>
      <c r="AM226" s="23" t="n">
        <f aca="false">IF(AND(K226&lt;'판정 기준'!$B$8,OR(AJ226&lt;&gt;"",AP226&lt;&gt;"경기 준비 능력")),K226,0)</f>
        <v>0</v>
      </c>
      <c r="AN226" s="23" t="n">
        <f aca="false">IF(AND(N226&lt;'판정 기준'!$B$8,OR(AJ226&lt;&gt;"",AP226&lt;&gt;"실수 후 회복력")),N226,0)</f>
        <v>0</v>
      </c>
      <c r="AO226" s="23" t="n">
        <f aca="false">IF(AND(P226&lt;'판정 기준'!$B$8,OR(AJ226&lt;&gt;"",AP226&lt;&gt;"자기 통제력")),P226,0)</f>
        <v>0</v>
      </c>
      <c r="AP226" s="23" t="str">
        <f aca="false">IF(Q226=MAX(G226,Q226,K226,N226,P226),"사회적 도움 활용",IF(P226=MAX(G226,Q226,K226,N226,P226),"자기 통제력",IF(G226=MAX(G226,Q226,K226,N226,P226),"경기긴장도",IF(K226=MAX(G226,Q226,K226,N226,P226),"경기 준비 능력","실수 후 회복력"))))</f>
        <v>실수 후 회복력</v>
      </c>
    </row>
    <row r="227" customFormat="false" ht="17.15" hidden="false" customHeight="false" outlineLevel="0" collapsed="false">
      <c r="A227" s="13" t="s">
        <v>446</v>
      </c>
      <c r="B227" s="13" t="s">
        <v>187</v>
      </c>
      <c r="C227" s="13" t="s">
        <v>335</v>
      </c>
      <c r="D227" s="14" t="n">
        <v>46140</v>
      </c>
      <c r="E227" s="41" t="s">
        <v>195</v>
      </c>
      <c r="F227" s="42" t="n">
        <v>4.9</v>
      </c>
      <c r="G227" s="42" t="n">
        <v>5.4</v>
      </c>
      <c r="H227" s="42" t="n">
        <v>5.2</v>
      </c>
      <c r="I227" s="42" t="n">
        <v>5.6</v>
      </c>
      <c r="J227" s="42" t="n">
        <v>5.2</v>
      </c>
      <c r="K227" s="42" t="n">
        <v>4.3</v>
      </c>
      <c r="L227" s="42" t="n">
        <v>4.5</v>
      </c>
      <c r="M227" s="42" t="n">
        <v>4.1</v>
      </c>
      <c r="N227" s="42" t="n">
        <v>5</v>
      </c>
      <c r="O227" s="42" t="n">
        <v>4.7</v>
      </c>
      <c r="P227" s="42" t="n">
        <v>5</v>
      </c>
      <c r="Q227" s="42" t="n">
        <v>6</v>
      </c>
      <c r="R227" s="42" t="n">
        <v>6</v>
      </c>
      <c r="S227" s="37" t="n">
        <f aca="false">AVERAGE(G227:J227)</f>
        <v>5.35</v>
      </c>
      <c r="T227" s="37" t="n">
        <f aca="false">AVERAGE(K227:M227)</f>
        <v>4.3</v>
      </c>
      <c r="U227" s="37" t="n">
        <f aca="false">AVERAGE(N227:O227)</f>
        <v>4.85</v>
      </c>
      <c r="V227" s="23" t="str">
        <f aca="false">IF(S227&gt;='판정 기준'!$B$3,"H","L")&amp;IF(T227&gt;='판정 기준'!$B$3,"H","L")&amp;IF(U227&gt;='판정 기준'!$B$3,"H","L")</f>
        <v>HLH</v>
      </c>
      <c r="W227" s="36" t="str">
        <f aca="false">INDEX('포지션 정의'!$A$2:$A$9,MATCH(V227,'포지션 정의'!$D$2:$D$9,0))</f>
        <v>D</v>
      </c>
      <c r="X227" s="36" t="str">
        <f aca="false">INDEX('포지션 정의'!$B$2:$B$9,MATCH(V227,'포지션 정의'!$D$2:$D$9,0))</f>
        <v>실전 승부사형</v>
      </c>
      <c r="Y227" s="43" t="str">
        <f aca="false">IF(AJ227="","가장 높은 지표: "&amp;AP227,LEFT(AJ227,LEN(AJ227)-2))</f>
        <v>경기긴장도, 사회적 도움 활용, 실수 후 회복력, 자기 통제력</v>
      </c>
      <c r="Z227" s="43" t="str">
        <f aca="false">IF(MAX(AK227:AO227)=0,"심화: "&amp;IF(N227=MIN(G227,Q227,K227,N227,P227),"실수 후 회복력",IF(K227=MIN(G227,Q227,K227,N227,P227),"경기 준비 능력",IF(G227=MIN(G227,Q227,K227,N227,P227),"경기긴장도",IF(P227=MIN(G227,Q227,K227,N227,P227),"자기 통제력","사회적 도움 활용")))),IF(MAX(AK227:AO227)&gt;='판정 기준'!$B$8-'판정 기준'!$B$4,IF(AN227=MAX(AK227:AO227),"실수 후 회복력",IF(AM227=MAX(AK227:AO227),"경기 준비 능력",IF(AK227=MAX(AK227:AO227),"경기긴장도",IF(AO227=MAX(AK227:AO227),"자기 통제력","사회적 도움 활용")))),IF(AN227&gt;0,"실수 후 회복력",IF(AM227&gt;0,"경기 준비 능력",IF(AK227&gt;0,"경기긴장도",IF(AO227&gt;0,"자기 통제력","사회적 도움 활용"))))))</f>
        <v>경기 준비 능력</v>
      </c>
      <c r="AA227" s="43" t="str">
        <f aca="false">INDEX('포지션 정의'!$L$2:$L$9,MATCH(V227,'포지션 정의'!$D$2:$D$9,0))</f>
        <v>즐라탄 이브라히모비치 · 호나우지뉴 · 디에고 마라도나</v>
      </c>
      <c r="AB227" s="24" t="n">
        <f aca="false">ROUND(100*(1-SQRT(((S227-'포지션 정의'!$N$2)^2+(T227-'포지션 정의'!$O$2)^2+(U227-'포지션 정의'!$P$2)^2)/3)/'판정 기준'!$B$7),0)</f>
        <v>76</v>
      </c>
      <c r="AC227" s="24" t="n">
        <f aca="false">ROUND(100*(1-SQRT(((S227-'포지션 정의'!$N$3)^2+(T227-'포지션 정의'!$O$3)^2+(U227-'포지션 정의'!$P$3)^2)/3)/'판정 기준'!$B$7),0)</f>
        <v>84</v>
      </c>
      <c r="AD227" s="24" t="n">
        <f aca="false">ROUND(100*(1-SQRT(((S227-'포지션 정의'!$N$4)^2+(T227-'포지션 정의'!$O$4)^2+(U227-'포지션 정의'!$P$4)^2)/3)/'판정 기준'!$B$7),0)</f>
        <v>86</v>
      </c>
      <c r="AE227" s="24" t="n">
        <f aca="false">ROUND(100*(1-SQRT(((S227-'포지션 정의'!$N$5)^2+(T227-'포지션 정의'!$O$5)^2+(U227-'포지션 정의'!$P$5)^2)/3)/'판정 기준'!$B$7),0)</f>
        <v>93</v>
      </c>
      <c r="AF227" s="24" t="n">
        <f aca="false">ROUND(100*(1-SQRT(((S227-'포지션 정의'!$N$6)^2+(T227-'포지션 정의'!$O$6)^2+(U227-'포지션 정의'!$P$6)^2)/3)/'판정 기준'!$B$7),0)</f>
        <v>81</v>
      </c>
      <c r="AG227" s="24" t="n">
        <f aca="false">ROUND(100*(1-SQRT(((S227-'포지션 정의'!$N$7)^2+(T227-'포지션 정의'!$O$7)^2+(U227-'포지션 정의'!$P$7)^2)/3)/'판정 기준'!$B$7),0)</f>
        <v>79</v>
      </c>
      <c r="AH227" s="24" t="n">
        <f aca="false">ROUND(100*(1-SQRT(((S227-'포지션 정의'!$N$8)^2+(T227-'포지션 정의'!$O$8)^2+(U227-'포지션 정의'!$P$8)^2)/3)/'판정 기준'!$B$7),0)</f>
        <v>78</v>
      </c>
      <c r="AI227" s="24" t="n">
        <f aca="false">ROUND(100*(1-SQRT(((S227-'포지션 정의'!$N$9)^2+(T227-'포지션 정의'!$O$9)^2+(U227-'포지션 정의'!$P$9)^2)/3)/'판정 기준'!$B$7),0)</f>
        <v>89</v>
      </c>
      <c r="AJ227" s="23" t="str">
        <f aca="false">IF(G227&gt;='판정 기준'!$B$8,"경기긴장도, ","")&amp;IF(Q227&gt;='판정 기준'!$B$8,"사회적 도움 활용, ","")&amp;IF(K227&gt;='판정 기준'!$B$8,"경기 준비 능력, ","")&amp;IF(N227&gt;='판정 기준'!$B$8,"실수 후 회복력, ","")&amp;IF(P227&gt;='판정 기준'!$B$8,"자기 통제력, ","")</f>
        <v>경기긴장도, 사회적 도움 활용, 실수 후 회복력, 자기 통제력, </v>
      </c>
      <c r="AK227" s="23" t="n">
        <f aca="false">IF(AND(G227&lt;'판정 기준'!$B$8,OR(AJ227&lt;&gt;"",AP227&lt;&gt;"경기긴장도")),G227,0)</f>
        <v>0</v>
      </c>
      <c r="AL227" s="23" t="n">
        <f aca="false">IF(AND(Q227&lt;'판정 기준'!$B$8,OR(AJ227&lt;&gt;"",AP227&lt;&gt;"사회적 도움 활용")),Q227,0)</f>
        <v>0</v>
      </c>
      <c r="AM227" s="23" t="n">
        <f aca="false">IF(AND(K227&lt;'판정 기준'!$B$8,OR(AJ227&lt;&gt;"",AP227&lt;&gt;"경기 준비 능력")),K227,0)</f>
        <v>4.3</v>
      </c>
      <c r="AN227" s="23" t="n">
        <f aca="false">IF(AND(N227&lt;'판정 기준'!$B$8,OR(AJ227&lt;&gt;"",AP227&lt;&gt;"실수 후 회복력")),N227,0)</f>
        <v>0</v>
      </c>
      <c r="AO227" s="23" t="n">
        <f aca="false">IF(AND(P227&lt;'판정 기준'!$B$8,OR(AJ227&lt;&gt;"",AP227&lt;&gt;"자기 통제력")),P227,0)</f>
        <v>0</v>
      </c>
      <c r="AP227" s="23" t="str">
        <f aca="false">IF(Q227=MAX(G227,Q227,K227,N227,P227),"사회적 도움 활용",IF(P227=MAX(G227,Q227,K227,N227,P227),"자기 통제력",IF(G227=MAX(G227,Q227,K227,N227,P227),"경기긴장도",IF(K227=MAX(G227,Q227,K227,N227,P227),"경기 준비 능력","실수 후 회복력"))))</f>
        <v>사회적 도움 활용</v>
      </c>
    </row>
    <row r="228" customFormat="false" ht="17.15" hidden="false" customHeight="false" outlineLevel="0" collapsed="false">
      <c r="A228" s="13" t="s">
        <v>447</v>
      </c>
      <c r="B228" s="13" t="s">
        <v>187</v>
      </c>
      <c r="C228" s="13" t="s">
        <v>292</v>
      </c>
      <c r="D228" s="14" t="n">
        <v>46170</v>
      </c>
      <c r="E228" s="41" t="s">
        <v>195</v>
      </c>
      <c r="F228" s="42" t="n">
        <v>5</v>
      </c>
      <c r="G228" s="42" t="n">
        <v>4.9</v>
      </c>
      <c r="H228" s="42" t="n">
        <v>4.2</v>
      </c>
      <c r="I228" s="42" t="n">
        <v>6</v>
      </c>
      <c r="J228" s="42" t="n">
        <v>4</v>
      </c>
      <c r="K228" s="42" t="n">
        <v>4.8</v>
      </c>
      <c r="L228" s="42" t="n">
        <v>4.5</v>
      </c>
      <c r="M228" s="42" t="n">
        <v>5</v>
      </c>
      <c r="N228" s="42" t="n">
        <v>5.6</v>
      </c>
      <c r="O228" s="42" t="n">
        <v>5.5</v>
      </c>
      <c r="P228" s="42" t="n">
        <v>4.5</v>
      </c>
      <c r="Q228" s="42" t="n">
        <v>6</v>
      </c>
      <c r="R228" s="42" t="n">
        <v>5.7</v>
      </c>
      <c r="S228" s="37" t="n">
        <f aca="false">AVERAGE(G228:J228)</f>
        <v>4.775</v>
      </c>
      <c r="T228" s="37" t="n">
        <f aca="false">AVERAGE(K228:M228)</f>
        <v>4.76666666666667</v>
      </c>
      <c r="U228" s="37" t="n">
        <f aca="false">AVERAGE(N228:O228)</f>
        <v>5.55</v>
      </c>
      <c r="V228" s="23" t="str">
        <f aca="false">IF(S228&gt;='판정 기준'!$B$3,"H","L")&amp;IF(T228&gt;='판정 기준'!$B$3,"H","L")&amp;IF(U228&gt;='판정 기준'!$B$3,"H","L")</f>
        <v>HHH</v>
      </c>
      <c r="W228" s="36" t="str">
        <f aca="false">INDEX('포지션 정의'!$A$2:$A$9,MATCH(V228,'포지션 정의'!$D$2:$D$9,0))</f>
        <v>H</v>
      </c>
      <c r="X228" s="36" t="str">
        <f aca="false">INDEX('포지션 정의'!$B$2:$B$9,MATCH(V228,'포지션 정의'!$D$2:$D$9,0))</f>
        <v>올라운드 밸런스형</v>
      </c>
      <c r="Y228" s="43" t="str">
        <f aca="false">IF(AJ228="","가장 높은 지표: "&amp;AP228,LEFT(AJ228,LEN(AJ228)-2))</f>
        <v>경기긴장도, 사회적 도움 활용, 경기 준비 능력, 실수 후 회복력</v>
      </c>
      <c r="Z228" s="43" t="str">
        <f aca="false">IF(MAX(AK228:AO228)=0,"심화: "&amp;IF(N228=MIN(G228,Q228,K228,N228,P228),"실수 후 회복력",IF(K228=MIN(G228,Q228,K228,N228,P228),"경기 준비 능력",IF(G228=MIN(G228,Q228,K228,N228,P228),"경기긴장도",IF(P228=MIN(G228,Q228,K228,N228,P228),"자기 통제력","사회적 도움 활용")))),IF(MAX(AK228:AO228)&gt;='판정 기준'!$B$8-'판정 기준'!$B$4,IF(AN228=MAX(AK228:AO228),"실수 후 회복력",IF(AM228=MAX(AK228:AO228),"경기 준비 능력",IF(AK228=MAX(AK228:AO228),"경기긴장도",IF(AO228=MAX(AK228:AO228),"자기 통제력","사회적 도움 활용")))),IF(AN228&gt;0,"실수 후 회복력",IF(AM228&gt;0,"경기 준비 능력",IF(AK228&gt;0,"경기긴장도",IF(AO228&gt;0,"자기 통제력","사회적 도움 활용"))))))</f>
        <v>자기 통제력</v>
      </c>
      <c r="AA228" s="43" t="str">
        <f aca="false">INDEX('포지션 정의'!$L$2:$L$9,MATCH(V228,'포지션 정의'!$D$2:$D$9,0))</f>
        <v>크리스티아누 호날두 · 루카 모드리치 · 버질 반 다이크</v>
      </c>
      <c r="AB228" s="24" t="n">
        <f aca="false">ROUND(100*(1-SQRT(((S228-'포지션 정의'!$N$2)^2+(T228-'포지션 정의'!$O$2)^2+(U228-'포지션 정의'!$P$2)^2)/3)/'판정 기준'!$B$7),0)</f>
        <v>76</v>
      </c>
      <c r="AC228" s="24" t="n">
        <f aca="false">ROUND(100*(1-SQRT(((S228-'포지션 정의'!$N$3)^2+(T228-'포지션 정의'!$O$3)^2+(U228-'포지션 정의'!$P$3)^2)/3)/'판정 기준'!$B$7),0)</f>
        <v>79</v>
      </c>
      <c r="AD228" s="24" t="n">
        <f aca="false">ROUND(100*(1-SQRT(((S228-'포지션 정의'!$N$4)^2+(T228-'포지션 정의'!$O$4)^2+(U228-'포지션 정의'!$P$4)^2)/3)/'판정 기준'!$B$7),0)</f>
        <v>76</v>
      </c>
      <c r="AE228" s="24" t="n">
        <f aca="false">ROUND(100*(1-SQRT(((S228-'포지션 정의'!$N$5)^2+(T228-'포지션 정의'!$O$5)^2+(U228-'포지션 정의'!$P$5)^2)/3)/'판정 기준'!$B$7),0)</f>
        <v>87</v>
      </c>
      <c r="AF228" s="24" t="n">
        <f aca="false">ROUND(100*(1-SQRT(((S228-'포지션 정의'!$N$6)^2+(T228-'포지션 정의'!$O$6)^2+(U228-'포지션 정의'!$P$6)^2)/3)/'판정 기준'!$B$7),0)</f>
        <v>84</v>
      </c>
      <c r="AG228" s="24" t="n">
        <f aca="false">ROUND(100*(1-SQRT(((S228-'포지션 정의'!$N$7)^2+(T228-'포지션 정의'!$O$7)^2+(U228-'포지션 정의'!$P$7)^2)/3)/'판정 기준'!$B$7),0)</f>
        <v>87</v>
      </c>
      <c r="AH228" s="24" t="n">
        <f aca="false">ROUND(100*(1-SQRT(((S228-'포지션 정의'!$N$8)^2+(T228-'포지션 정의'!$O$8)^2+(U228-'포지션 정의'!$P$8)^2)/3)/'판정 기준'!$B$7),0)</f>
        <v>74</v>
      </c>
      <c r="AI228" s="24" t="n">
        <f aca="false">ROUND(100*(1-SQRT(((S228-'포지션 정의'!$N$9)^2+(T228-'포지션 정의'!$O$9)^2+(U228-'포지션 정의'!$P$9)^2)/3)/'판정 기준'!$B$7),0)</f>
        <v>92</v>
      </c>
      <c r="AJ228" s="23" t="str">
        <f aca="false">IF(G228&gt;='판정 기준'!$B$8,"경기긴장도, ","")&amp;IF(Q228&gt;='판정 기준'!$B$8,"사회적 도움 활용, ","")&amp;IF(K228&gt;='판정 기준'!$B$8,"경기 준비 능력, ","")&amp;IF(N228&gt;='판정 기준'!$B$8,"실수 후 회복력, ","")&amp;IF(P228&gt;='판정 기준'!$B$8,"자기 통제력, ","")</f>
        <v>경기긴장도, 사회적 도움 활용, 경기 준비 능력, 실수 후 회복력, </v>
      </c>
      <c r="AK228" s="23" t="n">
        <f aca="false">IF(AND(G228&lt;'판정 기준'!$B$8,OR(AJ228&lt;&gt;"",AP228&lt;&gt;"경기긴장도")),G228,0)</f>
        <v>0</v>
      </c>
      <c r="AL228" s="23" t="n">
        <f aca="false">IF(AND(Q228&lt;'판정 기준'!$B$8,OR(AJ228&lt;&gt;"",AP228&lt;&gt;"사회적 도움 활용")),Q228,0)</f>
        <v>0</v>
      </c>
      <c r="AM228" s="23" t="n">
        <f aca="false">IF(AND(K228&lt;'판정 기준'!$B$8,OR(AJ228&lt;&gt;"",AP228&lt;&gt;"경기 준비 능력")),K228,0)</f>
        <v>0</v>
      </c>
      <c r="AN228" s="23" t="n">
        <f aca="false">IF(AND(N228&lt;'판정 기준'!$B$8,OR(AJ228&lt;&gt;"",AP228&lt;&gt;"실수 후 회복력")),N228,0)</f>
        <v>0</v>
      </c>
      <c r="AO228" s="23" t="n">
        <f aca="false">IF(AND(P228&lt;'판정 기준'!$B$8,OR(AJ228&lt;&gt;"",AP228&lt;&gt;"자기 통제력")),P228,0)</f>
        <v>4.5</v>
      </c>
      <c r="AP228" s="23" t="str">
        <f aca="false">IF(Q228=MAX(G228,Q228,K228,N228,P228),"사회적 도움 활용",IF(P228=MAX(G228,Q228,K228,N228,P228),"자기 통제력",IF(G228=MAX(G228,Q228,K228,N228,P228),"경기긴장도",IF(K228=MAX(G228,Q228,K228,N228,P228),"경기 준비 능력","실수 후 회복력"))))</f>
        <v>사회적 도움 활용</v>
      </c>
    </row>
    <row r="229" customFormat="false" ht="17.15" hidden="false" customHeight="false" outlineLevel="0" collapsed="false">
      <c r="A229" s="13" t="s">
        <v>448</v>
      </c>
      <c r="B229" s="13" t="s">
        <v>187</v>
      </c>
      <c r="C229" s="13" t="s">
        <v>335</v>
      </c>
      <c r="D229" s="14" t="n">
        <v>46161</v>
      </c>
      <c r="E229" s="41" t="s">
        <v>198</v>
      </c>
      <c r="F229" s="42" t="n">
        <v>4.4</v>
      </c>
      <c r="G229" s="42" t="n">
        <v>3.6</v>
      </c>
      <c r="H229" s="42" t="n">
        <v>3.5</v>
      </c>
      <c r="I229" s="42" t="n">
        <v>4</v>
      </c>
      <c r="J229" s="42" t="n">
        <v>3.5</v>
      </c>
      <c r="K229" s="42" t="n">
        <v>4.8</v>
      </c>
      <c r="L229" s="42" t="n">
        <v>4.8</v>
      </c>
      <c r="M229" s="42" t="n">
        <v>4.9</v>
      </c>
      <c r="N229" s="42" t="n">
        <v>4.6</v>
      </c>
      <c r="O229" s="42" t="n">
        <v>5.5</v>
      </c>
      <c r="P229" s="42" t="n">
        <v>4.5</v>
      </c>
      <c r="Q229" s="42" t="n">
        <v>5.2</v>
      </c>
      <c r="R229" s="42" t="n">
        <v>6</v>
      </c>
      <c r="S229" s="37" t="n">
        <f aca="false">AVERAGE(G229:J229)</f>
        <v>3.65</v>
      </c>
      <c r="T229" s="37" t="n">
        <f aca="false">AVERAGE(K229:M229)</f>
        <v>4.83333333333333</v>
      </c>
      <c r="U229" s="37" t="n">
        <f aca="false">AVERAGE(N229:O229)</f>
        <v>5.05</v>
      </c>
      <c r="V229" s="23" t="str">
        <f aca="false">IF(S229&gt;='판정 기준'!$B$3,"H","L")&amp;IF(T229&gt;='판정 기준'!$B$3,"H","L")&amp;IF(U229&gt;='판정 기준'!$B$3,"H","L")</f>
        <v>LHH</v>
      </c>
      <c r="W229" s="36" t="str">
        <f aca="false">INDEX('포지션 정의'!$A$2:$A$9,MATCH(V229,'포지션 정의'!$D$2:$D$9,0))</f>
        <v>F</v>
      </c>
      <c r="X229" s="36" t="str">
        <f aca="false">INDEX('포지션 정의'!$B$2:$B$9,MATCH(V229,'포지션 정의'!$D$2:$D$9,0))</f>
        <v>성실한 도전자형</v>
      </c>
      <c r="Y229" s="43" t="str">
        <f aca="false">IF(AJ229="","가장 높은 지표: "&amp;AP229,LEFT(AJ229,LEN(AJ229)-2))</f>
        <v>사회적 도움 활용, 경기 준비 능력</v>
      </c>
      <c r="Z229" s="43" t="str">
        <f aca="false">IF(MAX(AK229:AO229)=0,"심화: "&amp;IF(N229=MIN(G229,Q229,K229,N229,P229),"실수 후 회복력",IF(K229=MIN(G229,Q229,K229,N229,P229),"경기 준비 능력",IF(G229=MIN(G229,Q229,K229,N229,P229),"경기긴장도",IF(P229=MIN(G229,Q229,K229,N229,P229),"자기 통제력","사회적 도움 활용")))),IF(MAX(AK229:AO229)&gt;='판정 기준'!$B$8-'판정 기준'!$B$4,IF(AN229=MAX(AK229:AO229),"실수 후 회복력",IF(AM229=MAX(AK229:AO229),"경기 준비 능력",IF(AK229=MAX(AK229:AO229),"경기긴장도",IF(AO229=MAX(AK229:AO229),"자기 통제력","사회적 도움 활용")))),IF(AN229&gt;0,"실수 후 회복력",IF(AM229&gt;0,"경기 준비 능력",IF(AK229&gt;0,"경기긴장도",IF(AO229&gt;0,"자기 통제력","사회적 도움 활용"))))))</f>
        <v>실수 후 회복력</v>
      </c>
      <c r="AA229" s="43" t="str">
        <f aca="false">INDEX('포지션 정의'!$L$2:$L$9,MATCH(V229,'포지션 정의'!$D$2:$D$9,0))</f>
        <v>제이미 바디 · 은골로 캉테 · 박지성</v>
      </c>
      <c r="AB229" s="24" t="n">
        <f aca="false">ROUND(100*(1-SQRT(((S229-'포지션 정의'!$N$2)^2+(T229-'포지션 정의'!$O$2)^2+(U229-'포지션 정의'!$P$2)^2)/3)/'판정 기준'!$B$7),0)</f>
        <v>85</v>
      </c>
      <c r="AC229" s="24" t="n">
        <f aca="false">ROUND(100*(1-SQRT(((S229-'포지션 정의'!$N$3)^2+(T229-'포지션 정의'!$O$3)^2+(U229-'포지션 정의'!$P$3)^2)/3)/'판정 기준'!$B$7),0)</f>
        <v>77</v>
      </c>
      <c r="AD229" s="24" t="n">
        <f aca="false">ROUND(100*(1-SQRT(((S229-'포지션 정의'!$N$4)^2+(T229-'포지션 정의'!$O$4)^2+(U229-'포지션 정의'!$P$4)^2)/3)/'판정 기준'!$B$7),0)</f>
        <v>74</v>
      </c>
      <c r="AE229" s="24" t="n">
        <f aca="false">ROUND(100*(1-SQRT(((S229-'포지션 정의'!$N$5)^2+(T229-'포지션 정의'!$O$5)^2+(U229-'포지션 정의'!$P$5)^2)/3)/'판정 기준'!$B$7),0)</f>
        <v>78</v>
      </c>
      <c r="AF229" s="24" t="n">
        <f aca="false">ROUND(100*(1-SQRT(((S229-'포지션 정의'!$N$6)^2+(T229-'포지션 정의'!$O$6)^2+(U229-'포지션 정의'!$P$6)^2)/3)/'판정 기준'!$B$7),0)</f>
        <v>88</v>
      </c>
      <c r="AG229" s="24" t="n">
        <f aca="false">ROUND(100*(1-SQRT(((S229-'포지션 정의'!$N$7)^2+(T229-'포지션 정의'!$O$7)^2+(U229-'포지션 정의'!$P$7)^2)/3)/'판정 기준'!$B$7),0)</f>
        <v>95</v>
      </c>
      <c r="AH229" s="24" t="n">
        <f aca="false">ROUND(100*(1-SQRT(((S229-'포지션 정의'!$N$8)^2+(T229-'포지션 정의'!$O$8)^2+(U229-'포지션 정의'!$P$8)^2)/3)/'판정 기준'!$B$7),0)</f>
        <v>81</v>
      </c>
      <c r="AI229" s="24" t="n">
        <f aca="false">ROUND(100*(1-SQRT(((S229-'포지션 정의'!$N$9)^2+(T229-'포지션 정의'!$O$9)^2+(U229-'포지션 정의'!$P$9)^2)/3)/'판정 기준'!$B$7),0)</f>
        <v>82</v>
      </c>
      <c r="AJ229" s="23" t="str">
        <f aca="false">IF(G229&gt;='판정 기준'!$B$8,"경기긴장도, ","")&amp;IF(Q229&gt;='판정 기준'!$B$8,"사회적 도움 활용, ","")&amp;IF(K229&gt;='판정 기준'!$B$8,"경기 준비 능력, ","")&amp;IF(N229&gt;='판정 기준'!$B$8,"실수 후 회복력, ","")&amp;IF(P229&gt;='판정 기준'!$B$8,"자기 통제력, ","")</f>
        <v>사회적 도움 활용, 경기 준비 능력, </v>
      </c>
      <c r="AK229" s="23" t="n">
        <f aca="false">IF(AND(G229&lt;'판정 기준'!$B$8,OR(AJ229&lt;&gt;"",AP229&lt;&gt;"경기긴장도")),G229,0)</f>
        <v>3.6</v>
      </c>
      <c r="AL229" s="23" t="n">
        <f aca="false">IF(AND(Q229&lt;'판정 기준'!$B$8,OR(AJ229&lt;&gt;"",AP229&lt;&gt;"사회적 도움 활용")),Q229,0)</f>
        <v>0</v>
      </c>
      <c r="AM229" s="23" t="n">
        <f aca="false">IF(AND(K229&lt;'판정 기준'!$B$8,OR(AJ229&lt;&gt;"",AP229&lt;&gt;"경기 준비 능력")),K229,0)</f>
        <v>0</v>
      </c>
      <c r="AN229" s="23" t="n">
        <f aca="false">IF(AND(N229&lt;'판정 기준'!$B$8,OR(AJ229&lt;&gt;"",AP229&lt;&gt;"실수 후 회복력")),N229,0)</f>
        <v>4.6</v>
      </c>
      <c r="AO229" s="23" t="n">
        <f aca="false">IF(AND(P229&lt;'판정 기준'!$B$8,OR(AJ229&lt;&gt;"",AP229&lt;&gt;"자기 통제력")),P229,0)</f>
        <v>4.5</v>
      </c>
      <c r="AP229" s="23" t="str">
        <f aca="false">IF(Q229=MAX(G229,Q229,K229,N229,P229),"사회적 도움 활용",IF(P229=MAX(G229,Q229,K229,N229,P229),"자기 통제력",IF(G229=MAX(G229,Q229,K229,N229,P229),"경기긴장도",IF(K229=MAX(G229,Q229,K229,N229,P229),"경기 준비 능력","실수 후 회복력"))))</f>
        <v>사회적 도움 활용</v>
      </c>
    </row>
    <row r="230" customFormat="false" ht="17.15" hidden="false" customHeight="false" outlineLevel="0" collapsed="false">
      <c r="A230" s="13" t="s">
        <v>449</v>
      </c>
      <c r="B230" s="13" t="s">
        <v>187</v>
      </c>
      <c r="C230" s="13" t="s">
        <v>335</v>
      </c>
      <c r="D230" s="14" t="n">
        <v>46121</v>
      </c>
      <c r="E230" s="41" t="s">
        <v>198</v>
      </c>
      <c r="F230" s="42" t="n">
        <v>4.7</v>
      </c>
      <c r="G230" s="42" t="n">
        <v>4.6</v>
      </c>
      <c r="H230" s="42" t="n">
        <v>4</v>
      </c>
      <c r="I230" s="42" t="n">
        <v>4.4</v>
      </c>
      <c r="J230" s="42" t="n">
        <v>4.5</v>
      </c>
      <c r="K230" s="42" t="n">
        <v>4.8</v>
      </c>
      <c r="L230" s="42" t="n">
        <v>4.7</v>
      </c>
      <c r="M230" s="42" t="n">
        <v>4.9</v>
      </c>
      <c r="N230" s="42" t="n">
        <v>5.1</v>
      </c>
      <c r="O230" s="42" t="n">
        <v>6</v>
      </c>
      <c r="P230" s="42" t="n">
        <v>4.1</v>
      </c>
      <c r="Q230" s="42" t="n">
        <v>6</v>
      </c>
      <c r="R230" s="42" t="n">
        <v>5.7</v>
      </c>
      <c r="S230" s="37" t="n">
        <f aca="false">AVERAGE(G230:J230)</f>
        <v>4.375</v>
      </c>
      <c r="T230" s="37" t="n">
        <f aca="false">AVERAGE(K230:M230)</f>
        <v>4.8</v>
      </c>
      <c r="U230" s="37" t="n">
        <f aca="false">AVERAGE(N230:O230)</f>
        <v>5.55</v>
      </c>
      <c r="V230" s="23" t="str">
        <f aca="false">IF(S230&gt;='판정 기준'!$B$3,"H","L")&amp;IF(T230&gt;='판정 기준'!$B$3,"H","L")&amp;IF(U230&gt;='판정 기준'!$B$3,"H","L")</f>
        <v>LHH</v>
      </c>
      <c r="W230" s="36" t="str">
        <f aca="false">INDEX('포지션 정의'!$A$2:$A$9,MATCH(V230,'포지션 정의'!$D$2:$D$9,0))</f>
        <v>F</v>
      </c>
      <c r="X230" s="36" t="str">
        <f aca="false">INDEX('포지션 정의'!$B$2:$B$9,MATCH(V230,'포지션 정의'!$D$2:$D$9,0))</f>
        <v>성실한 도전자형</v>
      </c>
      <c r="Y230" s="43" t="str">
        <f aca="false">IF(AJ230="","가장 높은 지표: "&amp;AP230,LEFT(AJ230,LEN(AJ230)-2))</f>
        <v>사회적 도움 활용, 경기 준비 능력, 실수 후 회복력</v>
      </c>
      <c r="Z230" s="43" t="str">
        <f aca="false">IF(MAX(AK230:AO230)=0,"심화: "&amp;IF(N230=MIN(G230,Q230,K230,N230,P230),"실수 후 회복력",IF(K230=MIN(G230,Q230,K230,N230,P230),"경기 준비 능력",IF(G230=MIN(G230,Q230,K230,N230,P230),"경기긴장도",IF(P230=MIN(G230,Q230,K230,N230,P230),"자기 통제력","사회적 도움 활용")))),IF(MAX(AK230:AO230)&gt;='판정 기준'!$B$8-'판정 기준'!$B$4,IF(AN230=MAX(AK230:AO230),"실수 후 회복력",IF(AM230=MAX(AK230:AO230),"경기 준비 능력",IF(AK230=MAX(AK230:AO230),"경기긴장도",IF(AO230=MAX(AK230:AO230),"자기 통제력","사회적 도움 활용")))),IF(AN230&gt;0,"실수 후 회복력",IF(AM230&gt;0,"경기 준비 능력",IF(AK230&gt;0,"경기긴장도",IF(AO230&gt;0,"자기 통제력","사회적 도움 활용"))))))</f>
        <v>경기긴장도</v>
      </c>
      <c r="AA230" s="43" t="str">
        <f aca="false">INDEX('포지션 정의'!$L$2:$L$9,MATCH(V230,'포지션 정의'!$D$2:$D$9,0))</f>
        <v>제이미 바디 · 은골로 캉테 · 박지성</v>
      </c>
      <c r="AB230" s="24" t="n">
        <f aca="false">ROUND(100*(1-SQRT(((S230-'포지션 정의'!$N$2)^2+(T230-'포지션 정의'!$O$2)^2+(U230-'포지션 정의'!$P$2)^2)/3)/'판정 기준'!$B$7),0)</f>
        <v>78</v>
      </c>
      <c r="AC230" s="24" t="n">
        <f aca="false">ROUND(100*(1-SQRT(((S230-'포지션 정의'!$N$3)^2+(T230-'포지션 정의'!$O$3)^2+(U230-'포지션 정의'!$P$3)^2)/3)/'판정 기준'!$B$7),0)</f>
        <v>77</v>
      </c>
      <c r="AD230" s="24" t="n">
        <f aca="false">ROUND(100*(1-SQRT(((S230-'포지션 정의'!$N$4)^2+(T230-'포지션 정의'!$O$4)^2+(U230-'포지션 정의'!$P$4)^2)/3)/'판정 기준'!$B$7),0)</f>
        <v>75</v>
      </c>
      <c r="AE230" s="24" t="n">
        <f aca="false">ROUND(100*(1-SQRT(((S230-'포지션 정의'!$N$5)^2+(T230-'포지션 정의'!$O$5)^2+(U230-'포지션 정의'!$P$5)^2)/3)/'판정 기준'!$B$7),0)</f>
        <v>84</v>
      </c>
      <c r="AF230" s="24" t="n">
        <f aca="false">ROUND(100*(1-SQRT(((S230-'포지션 정의'!$N$6)^2+(T230-'포지션 정의'!$O$6)^2+(U230-'포지션 정의'!$P$6)^2)/3)/'판정 기준'!$B$7),0)</f>
        <v>86</v>
      </c>
      <c r="AG230" s="24" t="n">
        <f aca="false">ROUND(100*(1-SQRT(((S230-'포지션 정의'!$N$7)^2+(T230-'포지션 정의'!$O$7)^2+(U230-'포지션 정의'!$P$7)^2)/3)/'판정 기준'!$B$7),0)</f>
        <v>91</v>
      </c>
      <c r="AH230" s="24" t="n">
        <f aca="false">ROUND(100*(1-SQRT(((S230-'포지션 정의'!$N$8)^2+(T230-'포지션 정의'!$O$8)^2+(U230-'포지션 정의'!$P$8)^2)/3)/'판정 기준'!$B$7),0)</f>
        <v>76</v>
      </c>
      <c r="AI230" s="24" t="n">
        <f aca="false">ROUND(100*(1-SQRT(((S230-'포지션 정의'!$N$9)^2+(T230-'포지션 정의'!$O$9)^2+(U230-'포지션 정의'!$P$9)^2)/3)/'판정 기준'!$B$7),0)</f>
        <v>89</v>
      </c>
      <c r="AJ230" s="23" t="str">
        <f aca="false">IF(G230&gt;='판정 기준'!$B$8,"경기긴장도, ","")&amp;IF(Q230&gt;='판정 기준'!$B$8,"사회적 도움 활용, ","")&amp;IF(K230&gt;='판정 기준'!$B$8,"경기 준비 능력, ","")&amp;IF(N230&gt;='판정 기준'!$B$8,"실수 후 회복력, ","")&amp;IF(P230&gt;='판정 기준'!$B$8,"자기 통제력, ","")</f>
        <v>사회적 도움 활용, 경기 준비 능력, 실수 후 회복력, </v>
      </c>
      <c r="AK230" s="23" t="n">
        <f aca="false">IF(AND(G230&lt;'판정 기준'!$B$8,OR(AJ230&lt;&gt;"",AP230&lt;&gt;"경기긴장도")),G230,0)</f>
        <v>4.6</v>
      </c>
      <c r="AL230" s="23" t="n">
        <f aca="false">IF(AND(Q230&lt;'판정 기준'!$B$8,OR(AJ230&lt;&gt;"",AP230&lt;&gt;"사회적 도움 활용")),Q230,0)</f>
        <v>0</v>
      </c>
      <c r="AM230" s="23" t="n">
        <f aca="false">IF(AND(K230&lt;'판정 기준'!$B$8,OR(AJ230&lt;&gt;"",AP230&lt;&gt;"경기 준비 능력")),K230,0)</f>
        <v>0</v>
      </c>
      <c r="AN230" s="23" t="n">
        <f aca="false">IF(AND(N230&lt;'판정 기준'!$B$8,OR(AJ230&lt;&gt;"",AP230&lt;&gt;"실수 후 회복력")),N230,0)</f>
        <v>0</v>
      </c>
      <c r="AO230" s="23" t="n">
        <f aca="false">IF(AND(P230&lt;'판정 기준'!$B$8,OR(AJ230&lt;&gt;"",AP230&lt;&gt;"자기 통제력")),P230,0)</f>
        <v>4.1</v>
      </c>
      <c r="AP230" s="23" t="str">
        <f aca="false">IF(Q230=MAX(G230,Q230,K230,N230,P230),"사회적 도움 활용",IF(P230=MAX(G230,Q230,K230,N230,P230),"자기 통제력",IF(G230=MAX(G230,Q230,K230,N230,P230),"경기긴장도",IF(K230=MAX(G230,Q230,K230,N230,P230),"경기 준비 능력","실수 후 회복력"))))</f>
        <v>사회적 도움 활용</v>
      </c>
    </row>
    <row r="231" customFormat="false" ht="17.15" hidden="false" customHeight="false" outlineLevel="0" collapsed="false">
      <c r="A231" s="13" t="s">
        <v>450</v>
      </c>
      <c r="B231" s="13" t="s">
        <v>187</v>
      </c>
      <c r="C231" s="13" t="s">
        <v>335</v>
      </c>
      <c r="D231" s="14" t="n">
        <v>46161</v>
      </c>
      <c r="E231" s="41" t="s">
        <v>198</v>
      </c>
      <c r="F231" s="42" t="n">
        <v>3.8</v>
      </c>
      <c r="G231" s="42" t="n">
        <v>3.8</v>
      </c>
      <c r="H231" s="42" t="n">
        <v>4</v>
      </c>
      <c r="I231" s="42" t="n">
        <v>3.6</v>
      </c>
      <c r="J231" s="42" t="n">
        <v>3.8</v>
      </c>
      <c r="K231" s="42" t="n">
        <v>5.2</v>
      </c>
      <c r="L231" s="42" t="n">
        <v>5.2</v>
      </c>
      <c r="M231" s="42" t="n">
        <v>5.3</v>
      </c>
      <c r="N231" s="42" t="n">
        <v>2.7</v>
      </c>
      <c r="O231" s="42" t="n">
        <v>3.3</v>
      </c>
      <c r="P231" s="42" t="n">
        <v>3.7</v>
      </c>
      <c r="Q231" s="42" t="n">
        <v>5.8</v>
      </c>
      <c r="R231" s="42" t="n">
        <v>5</v>
      </c>
      <c r="S231" s="37" t="n">
        <f aca="false">AVERAGE(G231:J231)</f>
        <v>3.8</v>
      </c>
      <c r="T231" s="37" t="n">
        <f aca="false">AVERAGE(K231:M231)</f>
        <v>5.23333333333333</v>
      </c>
      <c r="U231" s="37" t="n">
        <f aca="false">AVERAGE(N231:O231)</f>
        <v>3</v>
      </c>
      <c r="V231" s="23" t="str">
        <f aca="false">IF(S231&gt;='판정 기준'!$B$3,"H","L")&amp;IF(T231&gt;='판정 기준'!$B$3,"H","L")&amp;IF(U231&gt;='판정 기준'!$B$3,"H","L")</f>
        <v>LHL</v>
      </c>
      <c r="W231" s="36" t="str">
        <f aca="false">INDEX('포지션 정의'!$A$2:$A$9,MATCH(V231,'포지션 정의'!$D$2:$D$9,0))</f>
        <v>A</v>
      </c>
      <c r="X231" s="36" t="str">
        <f aca="false">INDEX('포지션 정의'!$B$2:$B$9,MATCH(V231,'포지션 정의'!$D$2:$D$9,0))</f>
        <v>섬세한 준비형</v>
      </c>
      <c r="Y231" s="43" t="str">
        <f aca="false">IF(AJ231="","가장 높은 지표: "&amp;AP231,LEFT(AJ231,LEN(AJ231)-2))</f>
        <v>사회적 도움 활용, 경기 준비 능력</v>
      </c>
      <c r="Z231" s="43" t="str">
        <f aca="false">IF(MAX(AK231:AO231)=0,"심화: "&amp;IF(N231=MIN(G231,Q231,K231,N231,P231),"실수 후 회복력",IF(K231=MIN(G231,Q231,K231,N231,P231),"경기 준비 능력",IF(G231=MIN(G231,Q231,K231,N231,P231),"경기긴장도",IF(P231=MIN(G231,Q231,K231,N231,P231),"자기 통제력","사회적 도움 활용")))),IF(MAX(AK231:AO231)&gt;='판정 기준'!$B$8-'판정 기준'!$B$4,IF(AN231=MAX(AK231:AO231),"실수 후 회복력",IF(AM231=MAX(AK231:AO231),"경기 준비 능력",IF(AK231=MAX(AK231:AO231),"경기긴장도",IF(AO231=MAX(AK231:AO231),"자기 통제력","사회적 도움 활용")))),IF(AN231&gt;0,"실수 후 회복력",IF(AM231&gt;0,"경기 준비 능력",IF(AK231&gt;0,"경기긴장도",IF(AO231&gt;0,"자기 통제력","사회적 도움 활용"))))))</f>
        <v>실수 후 회복력</v>
      </c>
      <c r="AA231" s="43" t="str">
        <f aca="false">INDEX('포지션 정의'!$L$2:$L$9,MATCH(V231,'포지션 정의'!$D$2:$D$9,0))</f>
        <v>로베르트 레반도프스키 · 제임스 밀너 · 마르틴 외데고르</v>
      </c>
      <c r="AB231" s="24" t="n">
        <f aca="false">ROUND(100*(1-SQRT(((S231-'포지션 정의'!$N$2)^2+(T231-'포지션 정의'!$O$2)^2+(U231-'포지션 정의'!$P$2)^2)/3)/'판정 기준'!$B$7),0)</f>
        <v>91</v>
      </c>
      <c r="AC231" s="24" t="n">
        <f aca="false">ROUND(100*(1-SQRT(((S231-'포지션 정의'!$N$3)^2+(T231-'포지션 정의'!$O$3)^2+(U231-'포지션 정의'!$P$3)^2)/3)/'판정 기준'!$B$7),0)</f>
        <v>81</v>
      </c>
      <c r="AD231" s="24" t="n">
        <f aca="false">ROUND(100*(1-SQRT(((S231-'포지션 정의'!$N$4)^2+(T231-'포지션 정의'!$O$4)^2+(U231-'포지션 정의'!$P$4)^2)/3)/'판정 기준'!$B$7),0)</f>
        <v>75</v>
      </c>
      <c r="AE231" s="24" t="n">
        <f aca="false">ROUND(100*(1-SQRT(((S231-'포지션 정의'!$N$5)^2+(T231-'포지션 정의'!$O$5)^2+(U231-'포지션 정의'!$P$5)^2)/3)/'판정 기준'!$B$7),0)</f>
        <v>66</v>
      </c>
      <c r="AF231" s="24" t="n">
        <f aca="false">ROUND(100*(1-SQRT(((S231-'포지션 정의'!$N$6)^2+(T231-'포지션 정의'!$O$6)^2+(U231-'포지션 정의'!$P$6)^2)/3)/'판정 기준'!$B$7),0)</f>
        <v>70</v>
      </c>
      <c r="AG231" s="24" t="n">
        <f aca="false">ROUND(100*(1-SQRT(((S231-'포지션 정의'!$N$7)^2+(T231-'포지션 정의'!$O$7)^2+(U231-'포지션 정의'!$P$7)^2)/3)/'판정 기준'!$B$7),0)</f>
        <v>75</v>
      </c>
      <c r="AH231" s="24" t="n">
        <f aca="false">ROUND(100*(1-SQRT(((S231-'포지션 정의'!$N$8)^2+(T231-'포지션 정의'!$O$8)^2+(U231-'포지션 정의'!$P$8)^2)/3)/'판정 기준'!$B$7),0)</f>
        <v>81</v>
      </c>
      <c r="AI231" s="24" t="n">
        <f aca="false">ROUND(100*(1-SQRT(((S231-'포지션 정의'!$N$9)^2+(T231-'포지션 정의'!$O$9)^2+(U231-'포지션 정의'!$P$9)^2)/3)/'판정 기준'!$B$7),0)</f>
        <v>70</v>
      </c>
      <c r="AJ231" s="23" t="str">
        <f aca="false">IF(G231&gt;='판정 기준'!$B$8,"경기긴장도, ","")&amp;IF(Q231&gt;='판정 기준'!$B$8,"사회적 도움 활용, ","")&amp;IF(K231&gt;='판정 기준'!$B$8,"경기 준비 능력, ","")&amp;IF(N231&gt;='판정 기준'!$B$8,"실수 후 회복력, ","")&amp;IF(P231&gt;='판정 기준'!$B$8,"자기 통제력, ","")</f>
        <v>사회적 도움 활용, 경기 준비 능력, </v>
      </c>
      <c r="AK231" s="23" t="n">
        <f aca="false">IF(AND(G231&lt;'판정 기준'!$B$8,OR(AJ231&lt;&gt;"",AP231&lt;&gt;"경기긴장도")),G231,0)</f>
        <v>3.8</v>
      </c>
      <c r="AL231" s="23" t="n">
        <f aca="false">IF(AND(Q231&lt;'판정 기준'!$B$8,OR(AJ231&lt;&gt;"",AP231&lt;&gt;"사회적 도움 활용")),Q231,0)</f>
        <v>0</v>
      </c>
      <c r="AM231" s="23" t="n">
        <f aca="false">IF(AND(K231&lt;'판정 기준'!$B$8,OR(AJ231&lt;&gt;"",AP231&lt;&gt;"경기 준비 능력")),K231,0)</f>
        <v>0</v>
      </c>
      <c r="AN231" s="23" t="n">
        <f aca="false">IF(AND(N231&lt;'판정 기준'!$B$8,OR(AJ231&lt;&gt;"",AP231&lt;&gt;"실수 후 회복력")),N231,0)</f>
        <v>2.7</v>
      </c>
      <c r="AO231" s="23" t="n">
        <f aca="false">IF(AND(P231&lt;'판정 기준'!$B$8,OR(AJ231&lt;&gt;"",AP231&lt;&gt;"자기 통제력")),P231,0)</f>
        <v>3.7</v>
      </c>
      <c r="AP231" s="23" t="str">
        <f aca="false">IF(Q231=MAX(G231,Q231,K231,N231,P231),"사회적 도움 활용",IF(P231=MAX(G231,Q231,K231,N231,P231),"자기 통제력",IF(G231=MAX(G231,Q231,K231,N231,P231),"경기긴장도",IF(K231=MAX(G231,Q231,K231,N231,P231),"경기 준비 능력","실수 후 회복력"))))</f>
        <v>사회적 도움 활용</v>
      </c>
    </row>
    <row r="232" customFormat="false" ht="17.15" hidden="false" customHeight="false" outlineLevel="0" collapsed="false">
      <c r="A232" s="13" t="s">
        <v>451</v>
      </c>
      <c r="B232" s="13" t="s">
        <v>187</v>
      </c>
      <c r="C232" s="13" t="s">
        <v>335</v>
      </c>
      <c r="D232" s="14" t="n">
        <v>46102</v>
      </c>
      <c r="E232" s="41" t="s">
        <v>198</v>
      </c>
      <c r="F232" s="42" t="n">
        <v>4.1</v>
      </c>
      <c r="G232" s="42" t="n">
        <v>4</v>
      </c>
      <c r="H232" s="42" t="n">
        <v>4.5</v>
      </c>
      <c r="I232" s="42" t="n">
        <v>4</v>
      </c>
      <c r="J232" s="42" t="n">
        <v>4</v>
      </c>
      <c r="K232" s="42" t="n">
        <v>6</v>
      </c>
      <c r="L232" s="42" t="n">
        <v>6</v>
      </c>
      <c r="M232" s="42" t="n">
        <v>6</v>
      </c>
      <c r="N232" s="42" t="n">
        <v>3.7</v>
      </c>
      <c r="O232" s="42" t="n">
        <v>4.3</v>
      </c>
      <c r="P232" s="42" t="n">
        <v>3.7</v>
      </c>
      <c r="Q232" s="42" t="n">
        <v>4.2</v>
      </c>
      <c r="R232" s="42" t="n">
        <v>5.3</v>
      </c>
      <c r="S232" s="37" t="n">
        <f aca="false">AVERAGE(G232:J232)</f>
        <v>4.125</v>
      </c>
      <c r="T232" s="37" t="n">
        <f aca="false">AVERAGE(K232:M232)</f>
        <v>6</v>
      </c>
      <c r="U232" s="37" t="n">
        <f aca="false">AVERAGE(N232:O232)</f>
        <v>4</v>
      </c>
      <c r="V232" s="23" t="str">
        <f aca="false">IF(S232&gt;='판정 기준'!$B$3,"H","L")&amp;IF(T232&gt;='판정 기준'!$B$3,"H","L")&amp;IF(U232&gt;='판정 기준'!$B$3,"H","L")</f>
        <v>LHL</v>
      </c>
      <c r="W232" s="36" t="str">
        <f aca="false">INDEX('포지션 정의'!$A$2:$A$9,MATCH(V232,'포지션 정의'!$D$2:$D$9,0))</f>
        <v>A</v>
      </c>
      <c r="X232" s="36" t="str">
        <f aca="false">INDEX('포지션 정의'!$B$2:$B$9,MATCH(V232,'포지션 정의'!$D$2:$D$9,0))</f>
        <v>섬세한 준비형</v>
      </c>
      <c r="Y232" s="43" t="str">
        <f aca="false">IF(AJ232="","가장 높은 지표: "&amp;AP232,LEFT(AJ232,LEN(AJ232)-2))</f>
        <v>경기 준비 능력</v>
      </c>
      <c r="Z232" s="43" t="str">
        <f aca="false">IF(MAX(AK232:AO232)=0,"심화: "&amp;IF(N232=MIN(G232,Q232,K232,N232,P232),"실수 후 회복력",IF(K232=MIN(G232,Q232,K232,N232,P232),"경기 준비 능력",IF(G232=MIN(G232,Q232,K232,N232,P232),"경기긴장도",IF(P232=MIN(G232,Q232,K232,N232,P232),"자기 통제력","사회적 도움 활용")))),IF(MAX(AK232:AO232)&gt;='판정 기준'!$B$8-'판정 기준'!$B$4,IF(AN232=MAX(AK232:AO232),"실수 후 회복력",IF(AM232=MAX(AK232:AO232),"경기 준비 능력",IF(AK232=MAX(AK232:AO232),"경기긴장도",IF(AO232=MAX(AK232:AO232),"자기 통제력","사회적 도움 활용")))),IF(AN232&gt;0,"실수 후 회복력",IF(AM232&gt;0,"경기 준비 능력",IF(AK232&gt;0,"경기긴장도",IF(AO232&gt;0,"자기 통제력","사회적 도움 활용"))))))</f>
        <v>실수 후 회복력</v>
      </c>
      <c r="AA232" s="43" t="str">
        <f aca="false">INDEX('포지션 정의'!$L$2:$L$9,MATCH(V232,'포지션 정의'!$D$2:$D$9,0))</f>
        <v>로베르트 레반도프스키 · 제임스 밀너 · 마르틴 외데고르</v>
      </c>
      <c r="AB232" s="24" t="n">
        <f aca="false">ROUND(100*(1-SQRT(((S232-'포지션 정의'!$N$2)^2+(T232-'포지션 정의'!$O$2)^2+(U232-'포지션 정의'!$P$2)^2)/3)/'판정 기준'!$B$7),0)</f>
        <v>90</v>
      </c>
      <c r="AC232" s="24" t="n">
        <f aca="false">ROUND(100*(1-SQRT(((S232-'포지션 정의'!$N$3)^2+(T232-'포지션 정의'!$O$3)^2+(U232-'포지션 정의'!$P$3)^2)/3)/'판정 기준'!$B$7),0)</f>
        <v>84</v>
      </c>
      <c r="AD232" s="24" t="n">
        <f aca="false">ROUND(100*(1-SQRT(((S232-'포지션 정의'!$N$4)^2+(T232-'포지션 정의'!$O$4)^2+(U232-'포지션 정의'!$P$4)^2)/3)/'판정 기준'!$B$7),0)</f>
        <v>72</v>
      </c>
      <c r="AE232" s="24" t="n">
        <f aca="false">ROUND(100*(1-SQRT(((S232-'포지션 정의'!$N$5)^2+(T232-'포지션 정의'!$O$5)^2+(U232-'포지션 정의'!$P$5)^2)/3)/'판정 기준'!$B$7),0)</f>
        <v>69</v>
      </c>
      <c r="AF232" s="24" t="n">
        <f aca="false">ROUND(100*(1-SQRT(((S232-'포지션 정의'!$N$6)^2+(T232-'포지션 정의'!$O$6)^2+(U232-'포지션 정의'!$P$6)^2)/3)/'판정 기준'!$B$7),0)</f>
        <v>71</v>
      </c>
      <c r="AG232" s="24" t="n">
        <f aca="false">ROUND(100*(1-SQRT(((S232-'포지션 정의'!$N$7)^2+(T232-'포지션 정의'!$O$7)^2+(U232-'포지션 정의'!$P$7)^2)/3)/'판정 기준'!$B$7),0)</f>
        <v>83</v>
      </c>
      <c r="AH232" s="24" t="n">
        <f aca="false">ROUND(100*(1-SQRT(((S232-'포지션 정의'!$N$8)^2+(T232-'포지션 정의'!$O$8)^2+(U232-'포지션 정의'!$P$8)^2)/3)/'판정 기준'!$B$7),0)</f>
        <v>74</v>
      </c>
      <c r="AI232" s="24" t="n">
        <f aca="false">ROUND(100*(1-SQRT(((S232-'포지션 정의'!$N$9)^2+(T232-'포지션 정의'!$O$9)^2+(U232-'포지션 정의'!$P$9)^2)/3)/'판정 기준'!$B$7),0)</f>
        <v>79</v>
      </c>
      <c r="AJ232" s="23" t="str">
        <f aca="false">IF(G232&gt;='판정 기준'!$B$8,"경기긴장도, ","")&amp;IF(Q232&gt;='판정 기준'!$B$8,"사회적 도움 활용, ","")&amp;IF(K232&gt;='판정 기준'!$B$8,"경기 준비 능력, ","")&amp;IF(N232&gt;='판정 기준'!$B$8,"실수 후 회복력, ","")&amp;IF(P232&gt;='판정 기준'!$B$8,"자기 통제력, ","")</f>
        <v>경기 준비 능력, </v>
      </c>
      <c r="AK232" s="23" t="n">
        <f aca="false">IF(AND(G232&lt;'판정 기준'!$B$8,OR(AJ232&lt;&gt;"",AP232&lt;&gt;"경기긴장도")),G232,0)</f>
        <v>4</v>
      </c>
      <c r="AL232" s="23" t="n">
        <f aca="false">IF(AND(Q232&lt;'판정 기준'!$B$8,OR(AJ232&lt;&gt;"",AP232&lt;&gt;"사회적 도움 활용")),Q232,0)</f>
        <v>4.2</v>
      </c>
      <c r="AM232" s="23" t="n">
        <f aca="false">IF(AND(K232&lt;'판정 기준'!$B$8,OR(AJ232&lt;&gt;"",AP232&lt;&gt;"경기 준비 능력")),K232,0)</f>
        <v>0</v>
      </c>
      <c r="AN232" s="23" t="n">
        <f aca="false">IF(AND(N232&lt;'판정 기준'!$B$8,OR(AJ232&lt;&gt;"",AP232&lt;&gt;"실수 후 회복력")),N232,0)</f>
        <v>3.7</v>
      </c>
      <c r="AO232" s="23" t="n">
        <f aca="false">IF(AND(P232&lt;'판정 기준'!$B$8,OR(AJ232&lt;&gt;"",AP232&lt;&gt;"자기 통제력")),P232,0)</f>
        <v>3.7</v>
      </c>
      <c r="AP232" s="23" t="str">
        <f aca="false">IF(Q232=MAX(G232,Q232,K232,N232,P232),"사회적 도움 활용",IF(P232=MAX(G232,Q232,K232,N232,P232),"자기 통제력",IF(G232=MAX(G232,Q232,K232,N232,P232),"경기긴장도",IF(K232=MAX(G232,Q232,K232,N232,P232),"경기 준비 능력","실수 후 회복력"))))</f>
        <v>경기 준비 능력</v>
      </c>
    </row>
    <row r="233" customFormat="false" ht="17.15" hidden="false" customHeight="false" outlineLevel="0" collapsed="false">
      <c r="A233" s="13" t="s">
        <v>452</v>
      </c>
      <c r="B233" s="13" t="s">
        <v>187</v>
      </c>
      <c r="C233" s="13" t="s">
        <v>335</v>
      </c>
      <c r="D233" s="14" t="n">
        <v>46161</v>
      </c>
      <c r="E233" s="41" t="s">
        <v>195</v>
      </c>
      <c r="F233" s="42" t="n">
        <v>5.8</v>
      </c>
      <c r="G233" s="42" t="n">
        <v>5.8</v>
      </c>
      <c r="H233" s="42" t="n">
        <v>6</v>
      </c>
      <c r="I233" s="42" t="n">
        <v>6</v>
      </c>
      <c r="J233" s="42" t="n">
        <v>5.7</v>
      </c>
      <c r="K233" s="42" t="n">
        <v>5.7</v>
      </c>
      <c r="L233" s="42" t="n">
        <v>5.5</v>
      </c>
      <c r="M233" s="42" t="n">
        <v>5.9</v>
      </c>
      <c r="N233" s="42" t="n">
        <v>5.9</v>
      </c>
      <c r="O233" s="42" t="n">
        <v>5.8</v>
      </c>
      <c r="P233" s="42" t="n">
        <v>5.8</v>
      </c>
      <c r="Q233" s="42" t="n">
        <v>5.6</v>
      </c>
      <c r="R233" s="42" t="n">
        <v>5.7</v>
      </c>
      <c r="S233" s="37" t="n">
        <f aca="false">AVERAGE(G233:J233)</f>
        <v>5.875</v>
      </c>
      <c r="T233" s="37" t="n">
        <f aca="false">AVERAGE(K233:M233)</f>
        <v>5.7</v>
      </c>
      <c r="U233" s="37" t="n">
        <f aca="false">AVERAGE(N233:O233)</f>
        <v>5.85</v>
      </c>
      <c r="V233" s="23" t="str">
        <f aca="false">IF(S233&gt;='판정 기준'!$B$3,"H","L")&amp;IF(T233&gt;='판정 기준'!$B$3,"H","L")&amp;IF(U233&gt;='판정 기준'!$B$3,"H","L")</f>
        <v>HHH</v>
      </c>
      <c r="W233" s="36" t="str">
        <f aca="false">INDEX('포지션 정의'!$A$2:$A$9,MATCH(V233,'포지션 정의'!$D$2:$D$9,0))</f>
        <v>H</v>
      </c>
      <c r="X233" s="36" t="str">
        <f aca="false">INDEX('포지션 정의'!$B$2:$B$9,MATCH(V233,'포지션 정의'!$D$2:$D$9,0))</f>
        <v>올라운드 밸런스형</v>
      </c>
      <c r="Y233" s="43" t="str">
        <f aca="false">IF(AJ233="","가장 높은 지표: "&amp;AP233,LEFT(AJ233,LEN(AJ233)-2))</f>
        <v>경기긴장도, 사회적 도움 활용, 경기 준비 능력, 실수 후 회복력, 자기 통제력</v>
      </c>
      <c r="Z233" s="43" t="str">
        <f aca="false">IF(MAX(AK233:AO233)=0,"심화: "&amp;IF(N233=MIN(G233,Q233,K233,N233,P233),"실수 후 회복력",IF(K233=MIN(G233,Q233,K233,N233,P233),"경기 준비 능력",IF(G233=MIN(G233,Q233,K233,N233,P233),"경기긴장도",IF(P233=MIN(G233,Q233,K233,N233,P233),"자기 통제력","사회적 도움 활용")))),IF(MAX(AK233:AO233)&gt;='판정 기준'!$B$8-'판정 기준'!$B$4,IF(AN233=MAX(AK233:AO233),"실수 후 회복력",IF(AM233=MAX(AK233:AO233),"경기 준비 능력",IF(AK233=MAX(AK233:AO233),"경기긴장도",IF(AO233=MAX(AK233:AO233),"자기 통제력","사회적 도움 활용")))),IF(AN233&gt;0,"실수 후 회복력",IF(AM233&gt;0,"경기 준비 능력",IF(AK233&gt;0,"경기긴장도",IF(AO233&gt;0,"자기 통제력","사회적 도움 활용"))))))</f>
        <v>심화: 사회적 도움 활용</v>
      </c>
      <c r="AA233" s="43" t="str">
        <f aca="false">INDEX('포지션 정의'!$L$2:$L$9,MATCH(V233,'포지션 정의'!$D$2:$D$9,0))</f>
        <v>크리스티아누 호날두 · 루카 모드리치 · 버질 반 다이크</v>
      </c>
      <c r="AB233" s="24" t="n">
        <f aca="false">ROUND(100*(1-SQRT(((S233-'포지션 정의'!$N$2)^2+(T233-'포지션 정의'!$O$2)^2+(U233-'포지션 정의'!$P$2)^2)/3)/'판정 기준'!$B$7),0)</f>
        <v>66</v>
      </c>
      <c r="AC233" s="24" t="n">
        <f aca="false">ROUND(100*(1-SQRT(((S233-'포지션 정의'!$N$3)^2+(T233-'포지션 정의'!$O$3)^2+(U233-'포지션 정의'!$P$3)^2)/3)/'판정 기준'!$B$7),0)</f>
        <v>74</v>
      </c>
      <c r="AD233" s="24" t="n">
        <f aca="false">ROUND(100*(1-SQRT(((S233-'포지션 정의'!$N$4)^2+(T233-'포지션 정의'!$O$4)^2+(U233-'포지션 정의'!$P$4)^2)/3)/'판정 기준'!$B$7),0)</f>
        <v>67</v>
      </c>
      <c r="AE233" s="24" t="n">
        <f aca="false">ROUND(100*(1-SQRT(((S233-'포지션 정의'!$N$5)^2+(T233-'포지션 정의'!$O$5)^2+(U233-'포지션 정의'!$P$5)^2)/3)/'판정 기준'!$B$7),0)</f>
        <v>76</v>
      </c>
      <c r="AF233" s="24" t="n">
        <f aca="false">ROUND(100*(1-SQRT(((S233-'포지션 정의'!$N$6)^2+(T233-'포지션 정의'!$O$6)^2+(U233-'포지션 정의'!$P$6)^2)/3)/'판정 기준'!$B$7),0)</f>
        <v>67</v>
      </c>
      <c r="AG233" s="24" t="n">
        <f aca="false">ROUND(100*(1-SQRT(((S233-'포지션 정의'!$N$7)^2+(T233-'포지션 정의'!$O$7)^2+(U233-'포지션 정의'!$P$7)^2)/3)/'판정 기준'!$B$7),0)</f>
        <v>74</v>
      </c>
      <c r="AH233" s="24" t="n">
        <f aca="false">ROUND(100*(1-SQRT(((S233-'포지션 정의'!$N$8)^2+(T233-'포지션 정의'!$O$8)^2+(U233-'포지션 정의'!$P$8)^2)/3)/'판정 기준'!$B$7),0)</f>
        <v>60</v>
      </c>
      <c r="AI233" s="24" t="n">
        <f aca="false">ROUND(100*(1-SQRT(((S233-'포지션 정의'!$N$9)^2+(T233-'포지션 정의'!$O$9)^2+(U233-'포지션 정의'!$P$9)^2)/3)/'판정 기준'!$B$7),0)</f>
        <v>88</v>
      </c>
      <c r="AJ233" s="23" t="str">
        <f aca="false">IF(G233&gt;='판정 기준'!$B$8,"경기긴장도, ","")&amp;IF(Q233&gt;='판정 기준'!$B$8,"사회적 도움 활용, ","")&amp;IF(K233&gt;='판정 기준'!$B$8,"경기 준비 능력, ","")&amp;IF(N233&gt;='판정 기준'!$B$8,"실수 후 회복력, ","")&amp;IF(P233&gt;='판정 기준'!$B$8,"자기 통제력, ","")</f>
        <v>경기긴장도, 사회적 도움 활용, 경기 준비 능력, 실수 후 회복력, 자기 통제력, </v>
      </c>
      <c r="AK233" s="23" t="n">
        <f aca="false">IF(AND(G233&lt;'판정 기준'!$B$8,OR(AJ233&lt;&gt;"",AP233&lt;&gt;"경기긴장도")),G233,0)</f>
        <v>0</v>
      </c>
      <c r="AL233" s="23" t="n">
        <f aca="false">IF(AND(Q233&lt;'판정 기준'!$B$8,OR(AJ233&lt;&gt;"",AP233&lt;&gt;"사회적 도움 활용")),Q233,0)</f>
        <v>0</v>
      </c>
      <c r="AM233" s="23" t="n">
        <f aca="false">IF(AND(K233&lt;'판정 기준'!$B$8,OR(AJ233&lt;&gt;"",AP233&lt;&gt;"경기 준비 능력")),K233,0)</f>
        <v>0</v>
      </c>
      <c r="AN233" s="23" t="n">
        <f aca="false">IF(AND(N233&lt;'판정 기준'!$B$8,OR(AJ233&lt;&gt;"",AP233&lt;&gt;"실수 후 회복력")),N233,0)</f>
        <v>0</v>
      </c>
      <c r="AO233" s="23" t="n">
        <f aca="false">IF(AND(P233&lt;'판정 기준'!$B$8,OR(AJ233&lt;&gt;"",AP233&lt;&gt;"자기 통제력")),P233,0)</f>
        <v>0</v>
      </c>
      <c r="AP233" s="23" t="str">
        <f aca="false">IF(Q233=MAX(G233,Q233,K233,N233,P233),"사회적 도움 활용",IF(P233=MAX(G233,Q233,K233,N233,P233),"자기 통제력",IF(G233=MAX(G233,Q233,K233,N233,P233),"경기긴장도",IF(K233=MAX(G233,Q233,K233,N233,P233),"경기 준비 능력","실수 후 회복력"))))</f>
        <v>실수 후 회복력</v>
      </c>
    </row>
    <row r="234" customFormat="false" ht="17.15" hidden="false" customHeight="false" outlineLevel="0" collapsed="false">
      <c r="A234" s="13" t="s">
        <v>453</v>
      </c>
      <c r="B234" s="13" t="s">
        <v>187</v>
      </c>
      <c r="C234" s="13" t="s">
        <v>335</v>
      </c>
      <c r="D234" s="14" t="n">
        <v>46106</v>
      </c>
      <c r="E234" s="41" t="s">
        <v>198</v>
      </c>
      <c r="F234" s="42" t="n">
        <v>4.1</v>
      </c>
      <c r="G234" s="42" t="n">
        <v>4.1</v>
      </c>
      <c r="H234" s="42" t="n">
        <v>4.3</v>
      </c>
      <c r="I234" s="42" t="n">
        <v>4.8</v>
      </c>
      <c r="J234" s="42" t="n">
        <v>3.7</v>
      </c>
      <c r="K234" s="42" t="n">
        <v>4</v>
      </c>
      <c r="L234" s="42" t="n">
        <v>4.5</v>
      </c>
      <c r="M234" s="42" t="n">
        <v>3.9</v>
      </c>
      <c r="N234" s="42" t="n">
        <v>3.9</v>
      </c>
      <c r="O234" s="42" t="n">
        <v>3.8</v>
      </c>
      <c r="P234" s="42" t="n">
        <v>4.1</v>
      </c>
      <c r="Q234" s="42" t="n">
        <v>4.8</v>
      </c>
      <c r="R234" s="42" t="n">
        <v>5.3</v>
      </c>
      <c r="S234" s="37" t="n">
        <f aca="false">AVERAGE(G234:J234)</f>
        <v>4.225</v>
      </c>
      <c r="T234" s="37" t="n">
        <f aca="false">AVERAGE(K234:M234)</f>
        <v>4.13333333333333</v>
      </c>
      <c r="U234" s="37" t="n">
        <f aca="false">AVERAGE(N234:O234)</f>
        <v>3.85</v>
      </c>
      <c r="V234" s="23" t="str">
        <f aca="false">IF(S234&gt;='판정 기준'!$B$3,"H","L")&amp;IF(T234&gt;='판정 기준'!$B$3,"H","L")&amp;IF(U234&gt;='판정 기준'!$B$3,"H","L")</f>
        <v>LLL</v>
      </c>
      <c r="W234" s="36" t="str">
        <f aca="false">INDEX('포지션 정의'!$A$2:$A$9,MATCH(V234,'포지션 정의'!$D$2:$D$9,0))</f>
        <v>G</v>
      </c>
      <c r="X234" s="36" t="str">
        <f aca="false">INDEX('포지션 정의'!$B$2:$B$9,MATCH(V234,'포지션 정의'!$D$2:$D$9,0))</f>
        <v>스펀지 흡수형</v>
      </c>
      <c r="Y234" s="43" t="str">
        <f aca="false">IF(AJ234="","가장 높은 지표: "&amp;AP234,LEFT(AJ234,LEN(AJ234)-2))</f>
        <v>사회적 도움 활용</v>
      </c>
      <c r="Z234" s="43" t="str">
        <f aca="false">IF(MAX(AK234:AO234)=0,"심화: "&amp;IF(N234=MIN(G234,Q234,K234,N234,P234),"실수 후 회복력",IF(K234=MIN(G234,Q234,K234,N234,P234),"경기 준비 능력",IF(G234=MIN(G234,Q234,K234,N234,P234),"경기긴장도",IF(P234=MIN(G234,Q234,K234,N234,P234),"자기 통제력","사회적 도움 활용")))),IF(MAX(AK234:AO234)&gt;='판정 기준'!$B$8-'판정 기준'!$B$4,IF(AN234=MAX(AK234:AO234),"실수 후 회복력",IF(AM234=MAX(AK234:AO234),"경기 준비 능력",IF(AK234=MAX(AK234:AO234),"경기긴장도",IF(AO234=MAX(AK234:AO234),"자기 통제력","사회적 도움 활용")))),IF(AN234&gt;0,"실수 후 회복력",IF(AM234&gt;0,"경기 준비 능력",IF(AK234&gt;0,"경기긴장도",IF(AO234&gt;0,"자기 통제력","사회적 도움 활용"))))))</f>
        <v>실수 후 회복력</v>
      </c>
      <c r="AA234" s="43" t="str">
        <f aca="false">INDEX('포지션 정의'!$L$2:$L$9,MATCH(V234,'포지션 정의'!$D$2:$D$9,0))</f>
        <v>디디에 드로그바 · 앙투안 그리즈만 · 모하메드 살라</v>
      </c>
      <c r="AB234" s="24" t="n">
        <f aca="false">ROUND(100*(1-SQRT(((S234-'포지션 정의'!$N$2)^2+(T234-'포지션 정의'!$O$2)^2+(U234-'포지션 정의'!$P$2)^2)/3)/'판정 기준'!$B$7),0)</f>
        <v>87</v>
      </c>
      <c r="AC234" s="24" t="n">
        <f aca="false">ROUND(100*(1-SQRT(((S234-'포지션 정의'!$N$3)^2+(T234-'포지션 정의'!$O$3)^2+(U234-'포지션 정의'!$P$3)^2)/3)/'판정 기준'!$B$7),0)</f>
        <v>83</v>
      </c>
      <c r="AD234" s="24" t="n">
        <f aca="false">ROUND(100*(1-SQRT(((S234-'포지션 정의'!$N$4)^2+(T234-'포지션 정의'!$O$4)^2+(U234-'포지션 정의'!$P$4)^2)/3)/'판정 기준'!$B$7),0)</f>
        <v>88</v>
      </c>
      <c r="AE234" s="24" t="n">
        <f aca="false">ROUND(100*(1-SQRT(((S234-'포지션 정의'!$N$5)^2+(T234-'포지션 정의'!$O$5)^2+(U234-'포지션 정의'!$P$5)^2)/3)/'판정 기준'!$B$7),0)</f>
        <v>80</v>
      </c>
      <c r="AF234" s="24" t="n">
        <f aca="false">ROUND(100*(1-SQRT(((S234-'포지션 정의'!$N$6)^2+(T234-'포지션 정의'!$O$6)^2+(U234-'포지션 정의'!$P$6)^2)/3)/'판정 기준'!$B$7),0)</f>
        <v>83</v>
      </c>
      <c r="AG234" s="24" t="n">
        <f aca="false">ROUND(100*(1-SQRT(((S234-'포지션 정의'!$N$7)^2+(T234-'포지션 정의'!$O$7)^2+(U234-'포지션 정의'!$P$7)^2)/3)/'판정 기준'!$B$7),0)</f>
        <v>80</v>
      </c>
      <c r="AH234" s="24" t="n">
        <f aca="false">ROUND(100*(1-SQRT(((S234-'포지션 정의'!$N$8)^2+(T234-'포지션 정의'!$O$8)^2+(U234-'포지션 정의'!$P$8)^2)/3)/'판정 기준'!$B$7),0)</f>
        <v>94</v>
      </c>
      <c r="AI234" s="24" t="n">
        <f aca="false">ROUND(100*(1-SQRT(((S234-'포지션 정의'!$N$9)^2+(T234-'포지션 정의'!$O$9)^2+(U234-'포지션 정의'!$P$9)^2)/3)/'판정 기준'!$B$7),0)</f>
        <v>77</v>
      </c>
      <c r="AJ234" s="23" t="str">
        <f aca="false">IF(G234&gt;='판정 기준'!$B$8,"경기긴장도, ","")&amp;IF(Q234&gt;='판정 기준'!$B$8,"사회적 도움 활용, ","")&amp;IF(K234&gt;='판정 기준'!$B$8,"경기 준비 능력, ","")&amp;IF(N234&gt;='판정 기준'!$B$8,"실수 후 회복력, ","")&amp;IF(P234&gt;='판정 기준'!$B$8,"자기 통제력, ","")</f>
        <v>사회적 도움 활용, </v>
      </c>
      <c r="AK234" s="23" t="n">
        <f aca="false">IF(AND(G234&lt;'판정 기준'!$B$8,OR(AJ234&lt;&gt;"",AP234&lt;&gt;"경기긴장도")),G234,0)</f>
        <v>4.1</v>
      </c>
      <c r="AL234" s="23" t="n">
        <f aca="false">IF(AND(Q234&lt;'판정 기준'!$B$8,OR(AJ234&lt;&gt;"",AP234&lt;&gt;"사회적 도움 활용")),Q234,0)</f>
        <v>0</v>
      </c>
      <c r="AM234" s="23" t="n">
        <f aca="false">IF(AND(K234&lt;'판정 기준'!$B$8,OR(AJ234&lt;&gt;"",AP234&lt;&gt;"경기 준비 능력")),K234,0)</f>
        <v>4</v>
      </c>
      <c r="AN234" s="23" t="n">
        <f aca="false">IF(AND(N234&lt;'판정 기준'!$B$8,OR(AJ234&lt;&gt;"",AP234&lt;&gt;"실수 후 회복력")),N234,0)</f>
        <v>3.9</v>
      </c>
      <c r="AO234" s="23" t="n">
        <f aca="false">IF(AND(P234&lt;'판정 기준'!$B$8,OR(AJ234&lt;&gt;"",AP234&lt;&gt;"자기 통제력")),P234,0)</f>
        <v>4.1</v>
      </c>
      <c r="AP234" s="23" t="str">
        <f aca="false">IF(Q234=MAX(G234,Q234,K234,N234,P234),"사회적 도움 활용",IF(P234=MAX(G234,Q234,K234,N234,P234),"자기 통제력",IF(G234=MAX(G234,Q234,K234,N234,P234),"경기긴장도",IF(K234=MAX(G234,Q234,K234,N234,P234),"경기 준비 능력","실수 후 회복력"))))</f>
        <v>사회적 도움 활용</v>
      </c>
    </row>
    <row r="235" customFormat="false" ht="17.15" hidden="false" customHeight="false" outlineLevel="0" collapsed="false">
      <c r="A235" s="13" t="s">
        <v>454</v>
      </c>
      <c r="B235" s="13" t="s">
        <v>187</v>
      </c>
      <c r="C235" s="13" t="s">
        <v>455</v>
      </c>
      <c r="D235" s="14" t="n">
        <v>46129</v>
      </c>
      <c r="E235" s="41" t="s">
        <v>198</v>
      </c>
      <c r="F235" s="42" t="n">
        <v>4.8</v>
      </c>
      <c r="G235" s="42" t="n">
        <v>4.2</v>
      </c>
      <c r="H235" s="42" t="n">
        <v>5.5</v>
      </c>
      <c r="I235" s="42" t="n">
        <v>3.6</v>
      </c>
      <c r="J235" s="42" t="n">
        <v>4.8</v>
      </c>
      <c r="K235" s="42" t="n">
        <v>4.5</v>
      </c>
      <c r="L235" s="42" t="n">
        <v>4.7</v>
      </c>
      <c r="M235" s="42" t="n">
        <v>4.4</v>
      </c>
      <c r="N235" s="42" t="n">
        <v>6</v>
      </c>
      <c r="O235" s="42" t="n">
        <v>5.8</v>
      </c>
      <c r="P235" s="42" t="n">
        <v>4</v>
      </c>
      <c r="Q235" s="42" t="n">
        <v>3.8</v>
      </c>
      <c r="R235" s="42" t="n">
        <v>5.3</v>
      </c>
      <c r="S235" s="37" t="n">
        <f aca="false">AVERAGE(G235:J235)</f>
        <v>4.525</v>
      </c>
      <c r="T235" s="37" t="n">
        <f aca="false">AVERAGE(K235:M235)</f>
        <v>4.53333333333333</v>
      </c>
      <c r="U235" s="37" t="n">
        <f aca="false">AVERAGE(N235:O235)</f>
        <v>5.9</v>
      </c>
      <c r="V235" s="23" t="str">
        <f aca="false">IF(S235&gt;='판정 기준'!$B$3,"H","L")&amp;IF(T235&gt;='판정 기준'!$B$3,"H","L")&amp;IF(U235&gt;='판정 기준'!$B$3,"H","L")</f>
        <v>HHH</v>
      </c>
      <c r="W235" s="36" t="str">
        <f aca="false">INDEX('포지션 정의'!$A$2:$A$9,MATCH(V235,'포지션 정의'!$D$2:$D$9,0))</f>
        <v>H</v>
      </c>
      <c r="X235" s="36" t="str">
        <f aca="false">INDEX('포지션 정의'!$B$2:$B$9,MATCH(V235,'포지션 정의'!$D$2:$D$9,0))</f>
        <v>올라운드 밸런스형</v>
      </c>
      <c r="Y235" s="43" t="str">
        <f aca="false">IF(AJ235="","가장 높은 지표: "&amp;AP235,LEFT(AJ235,LEN(AJ235)-2))</f>
        <v>실수 후 회복력</v>
      </c>
      <c r="Z235" s="43" t="str">
        <f aca="false">IF(MAX(AK235:AO235)=0,"심화: "&amp;IF(N235=MIN(G235,Q235,K235,N235,P235),"실수 후 회복력",IF(K235=MIN(G235,Q235,K235,N235,P235),"경기 준비 능력",IF(G235=MIN(G235,Q235,K235,N235,P235),"경기긴장도",IF(P235=MIN(G235,Q235,K235,N235,P235),"자기 통제력","사회적 도움 활용")))),IF(MAX(AK235:AO235)&gt;='판정 기준'!$B$8-'판정 기준'!$B$4,IF(AN235=MAX(AK235:AO235),"실수 후 회복력",IF(AM235=MAX(AK235:AO235),"경기 준비 능력",IF(AK235=MAX(AK235:AO235),"경기긴장도",IF(AO235=MAX(AK235:AO235),"자기 통제력","사회적 도움 활용")))),IF(AN235&gt;0,"실수 후 회복력",IF(AM235&gt;0,"경기 준비 능력",IF(AK235&gt;0,"경기긴장도",IF(AO235&gt;0,"자기 통제력","사회적 도움 활용"))))))</f>
        <v>경기 준비 능력</v>
      </c>
      <c r="AA235" s="43" t="str">
        <f aca="false">INDEX('포지션 정의'!$L$2:$L$9,MATCH(V235,'포지션 정의'!$D$2:$D$9,0))</f>
        <v>크리스티아누 호날두 · 루카 모드리치 · 버질 반 다이크</v>
      </c>
      <c r="AB235" s="24" t="n">
        <f aca="false">ROUND(100*(1-SQRT(((S235-'포지션 정의'!$N$2)^2+(T235-'포지션 정의'!$O$2)^2+(U235-'포지션 정의'!$P$2)^2)/3)/'판정 기준'!$B$7),0)</f>
        <v>73</v>
      </c>
      <c r="AC235" s="24" t="n">
        <f aca="false">ROUND(100*(1-SQRT(((S235-'포지션 정의'!$N$3)^2+(T235-'포지션 정의'!$O$3)^2+(U235-'포지션 정의'!$P$3)^2)/3)/'판정 기준'!$B$7),0)</f>
        <v>73</v>
      </c>
      <c r="AD235" s="24" t="n">
        <f aca="false">ROUND(100*(1-SQRT(((S235-'포지션 정의'!$N$4)^2+(T235-'포지션 정의'!$O$4)^2+(U235-'포지션 정의'!$P$4)^2)/3)/'판정 기준'!$B$7),0)</f>
        <v>73</v>
      </c>
      <c r="AE235" s="24" t="n">
        <f aca="false">ROUND(100*(1-SQRT(((S235-'포지션 정의'!$N$5)^2+(T235-'포지션 정의'!$O$5)^2+(U235-'포지션 정의'!$P$5)^2)/3)/'판정 기준'!$B$7),0)</f>
        <v>86</v>
      </c>
      <c r="AF235" s="24" t="n">
        <f aca="false">ROUND(100*(1-SQRT(((S235-'포지션 정의'!$N$6)^2+(T235-'포지션 정의'!$O$6)^2+(U235-'포지션 정의'!$P$6)^2)/3)/'판정 기준'!$B$7),0)</f>
        <v>86</v>
      </c>
      <c r="AG235" s="24" t="n">
        <f aca="false">ROUND(100*(1-SQRT(((S235-'포지션 정의'!$N$7)^2+(T235-'포지션 정의'!$O$7)^2+(U235-'포지션 정의'!$P$7)^2)/3)/'판정 기준'!$B$7),0)</f>
        <v>86</v>
      </c>
      <c r="AH235" s="24" t="n">
        <f aca="false">ROUND(100*(1-SQRT(((S235-'포지션 정의'!$N$8)^2+(T235-'포지션 정의'!$O$8)^2+(U235-'포지션 정의'!$P$8)^2)/3)/'판정 기준'!$B$7),0)</f>
        <v>73</v>
      </c>
      <c r="AI235" s="24" t="n">
        <f aca="false">ROUND(100*(1-SQRT(((S235-'포지션 정의'!$N$9)^2+(T235-'포지션 정의'!$O$9)^2+(U235-'포지션 정의'!$P$9)^2)/3)/'판정 기준'!$B$7),0)</f>
        <v>86</v>
      </c>
      <c r="AJ235" s="23" t="str">
        <f aca="false">IF(G235&gt;='판정 기준'!$B$8,"경기긴장도, ","")&amp;IF(Q235&gt;='판정 기준'!$B$8,"사회적 도움 활용, ","")&amp;IF(K235&gt;='판정 기준'!$B$8,"경기 준비 능력, ","")&amp;IF(N235&gt;='판정 기준'!$B$8,"실수 후 회복력, ","")&amp;IF(P235&gt;='판정 기준'!$B$8,"자기 통제력, ","")</f>
        <v>실수 후 회복력, </v>
      </c>
      <c r="AK235" s="23" t="n">
        <f aca="false">IF(AND(G235&lt;'판정 기준'!$B$8,OR(AJ235&lt;&gt;"",AP235&lt;&gt;"경기긴장도")),G235,0)</f>
        <v>4.2</v>
      </c>
      <c r="AL235" s="23" t="n">
        <f aca="false">IF(AND(Q235&lt;'판정 기준'!$B$8,OR(AJ235&lt;&gt;"",AP235&lt;&gt;"사회적 도움 활용")),Q235,0)</f>
        <v>3.8</v>
      </c>
      <c r="AM235" s="23" t="n">
        <f aca="false">IF(AND(K235&lt;'판정 기준'!$B$8,OR(AJ235&lt;&gt;"",AP235&lt;&gt;"경기 준비 능력")),K235,0)</f>
        <v>4.5</v>
      </c>
      <c r="AN235" s="23" t="n">
        <f aca="false">IF(AND(N235&lt;'판정 기준'!$B$8,OR(AJ235&lt;&gt;"",AP235&lt;&gt;"실수 후 회복력")),N235,0)</f>
        <v>0</v>
      </c>
      <c r="AO235" s="23" t="n">
        <f aca="false">IF(AND(P235&lt;'판정 기준'!$B$8,OR(AJ235&lt;&gt;"",AP235&lt;&gt;"자기 통제력")),P235,0)</f>
        <v>4</v>
      </c>
      <c r="AP235" s="23" t="str">
        <f aca="false">IF(Q235=MAX(G235,Q235,K235,N235,P235),"사회적 도움 활용",IF(P235=MAX(G235,Q235,K235,N235,P235),"자기 통제력",IF(G235=MAX(G235,Q235,K235,N235,P235),"경기긴장도",IF(K235=MAX(G235,Q235,K235,N235,P235),"경기 준비 능력","실수 후 회복력"))))</f>
        <v>실수 후 회복력</v>
      </c>
    </row>
    <row r="236" customFormat="false" ht="17.15" hidden="false" customHeight="false" outlineLevel="0" collapsed="false">
      <c r="A236" s="13" t="s">
        <v>456</v>
      </c>
      <c r="B236" s="13" t="s">
        <v>187</v>
      </c>
      <c r="C236" s="13" t="s">
        <v>457</v>
      </c>
      <c r="D236" s="14" t="n">
        <v>46183</v>
      </c>
      <c r="E236" s="41" t="s">
        <v>195</v>
      </c>
      <c r="F236" s="42" t="n">
        <v>3.7</v>
      </c>
      <c r="G236" s="42" t="n">
        <v>3.6</v>
      </c>
      <c r="H236" s="42" t="n">
        <v>2.8</v>
      </c>
      <c r="I236" s="42" t="n">
        <v>4.2</v>
      </c>
      <c r="J236" s="42" t="n">
        <v>3.3</v>
      </c>
      <c r="K236" s="42" t="n">
        <v>3.8</v>
      </c>
      <c r="L236" s="42" t="n">
        <v>3.7</v>
      </c>
      <c r="M236" s="42" t="n">
        <v>3.9</v>
      </c>
      <c r="N236" s="42" t="n">
        <v>4.1</v>
      </c>
      <c r="O236" s="42" t="n">
        <v>3.5</v>
      </c>
      <c r="P236" s="42" t="n">
        <v>3.3</v>
      </c>
      <c r="Q236" s="42" t="n">
        <v>4.4</v>
      </c>
      <c r="R236" s="42" t="n">
        <v>5.3</v>
      </c>
      <c r="S236" s="37" t="n">
        <f aca="false">AVERAGE(G236:J236)</f>
        <v>3.475</v>
      </c>
      <c r="T236" s="37" t="n">
        <f aca="false">AVERAGE(K236:M236)</f>
        <v>3.8</v>
      </c>
      <c r="U236" s="37" t="n">
        <f aca="false">AVERAGE(N236:O236)</f>
        <v>3.8</v>
      </c>
      <c r="V236" s="23" t="str">
        <f aca="false">IF(S236&gt;='판정 기준'!$B$3,"H","L")&amp;IF(T236&gt;='판정 기준'!$B$3,"H","L")&amp;IF(U236&gt;='판정 기준'!$B$3,"H","L")</f>
        <v>LLL</v>
      </c>
      <c r="W236" s="36" t="str">
        <f aca="false">INDEX('포지션 정의'!$A$2:$A$9,MATCH(V236,'포지션 정의'!$D$2:$D$9,0))</f>
        <v>G</v>
      </c>
      <c r="X236" s="36" t="str">
        <f aca="false">INDEX('포지션 정의'!$B$2:$B$9,MATCH(V236,'포지션 정의'!$D$2:$D$9,0))</f>
        <v>스펀지 흡수형</v>
      </c>
      <c r="Y236" s="43" t="str">
        <f aca="false">IF(AJ236="","가장 높은 지표: "&amp;AP236,LEFT(AJ236,LEN(AJ236)-2))</f>
        <v>가장 높은 지표: 사회적 도움 활용</v>
      </c>
      <c r="Z236" s="43" t="str">
        <f aca="false">IF(MAX(AK236:AO236)=0,"심화: "&amp;IF(N236=MIN(G236,Q236,K236,N236,P236),"실수 후 회복력",IF(K236=MIN(G236,Q236,K236,N236,P236),"경기 준비 능력",IF(G236=MIN(G236,Q236,K236,N236,P236),"경기긴장도",IF(P236=MIN(G236,Q236,K236,N236,P236),"자기 통제력","사회적 도움 활용")))),IF(MAX(AK236:AO236)&gt;='판정 기준'!$B$8-'판정 기준'!$B$4,IF(AN236=MAX(AK236:AO236),"실수 후 회복력",IF(AM236=MAX(AK236:AO236),"경기 준비 능력",IF(AK236=MAX(AK236:AO236),"경기긴장도",IF(AO236=MAX(AK236:AO236),"자기 통제력","사회적 도움 활용")))),IF(AN236&gt;0,"실수 후 회복력",IF(AM236&gt;0,"경기 준비 능력",IF(AK236&gt;0,"경기긴장도",IF(AO236&gt;0,"자기 통제력","사회적 도움 활용"))))))</f>
        <v>실수 후 회복력</v>
      </c>
      <c r="AA236" s="43" t="str">
        <f aca="false">INDEX('포지션 정의'!$L$2:$L$9,MATCH(V236,'포지션 정의'!$D$2:$D$9,0))</f>
        <v>디디에 드로그바 · 앙투안 그리즈만 · 모하메드 살라</v>
      </c>
      <c r="AB236" s="24" t="n">
        <f aca="false">ROUND(100*(1-SQRT(((S236-'포지션 정의'!$N$2)^2+(T236-'포지션 정의'!$O$2)^2+(U236-'포지션 정의'!$P$2)^2)/3)/'판정 기준'!$B$7),0)</f>
        <v>83</v>
      </c>
      <c r="AC236" s="24" t="n">
        <f aca="false">ROUND(100*(1-SQRT(((S236-'포지션 정의'!$N$3)^2+(T236-'포지션 정의'!$O$3)^2+(U236-'포지션 정의'!$P$3)^2)/3)/'판정 기준'!$B$7),0)</f>
        <v>74</v>
      </c>
      <c r="AD236" s="24" t="n">
        <f aca="false">ROUND(100*(1-SQRT(((S236-'포지션 정의'!$N$4)^2+(T236-'포지션 정의'!$O$4)^2+(U236-'포지션 정의'!$P$4)^2)/3)/'판정 기준'!$B$7),0)</f>
        <v>80</v>
      </c>
      <c r="AE236" s="24" t="n">
        <f aca="false">ROUND(100*(1-SQRT(((S236-'포지션 정의'!$N$5)^2+(T236-'포지션 정의'!$O$5)^2+(U236-'포지션 정의'!$P$5)^2)/3)/'판정 기준'!$B$7),0)</f>
        <v>74</v>
      </c>
      <c r="AF236" s="24" t="n">
        <f aca="false">ROUND(100*(1-SQRT(((S236-'포지션 정의'!$N$6)^2+(T236-'포지션 정의'!$O$6)^2+(U236-'포지션 정의'!$P$6)^2)/3)/'판정 기준'!$B$7),0)</f>
        <v>83</v>
      </c>
      <c r="AG236" s="24" t="n">
        <f aca="false">ROUND(100*(1-SQRT(((S236-'포지션 정의'!$N$7)^2+(T236-'포지션 정의'!$O$7)^2+(U236-'포지션 정의'!$P$7)^2)/3)/'판정 기준'!$B$7),0)</f>
        <v>77</v>
      </c>
      <c r="AH236" s="24" t="n">
        <f aca="false">ROUND(100*(1-SQRT(((S236-'포지션 정의'!$N$8)^2+(T236-'포지션 정의'!$O$8)^2+(U236-'포지션 정의'!$P$8)^2)/3)/'판정 기준'!$B$7),0)</f>
        <v>96</v>
      </c>
      <c r="AI236" s="24" t="n">
        <f aca="false">ROUND(100*(1-SQRT(((S236-'포지션 정의'!$N$9)^2+(T236-'포지션 정의'!$O$9)^2+(U236-'포지션 정의'!$P$9)^2)/3)/'판정 기준'!$B$7),0)</f>
        <v>70</v>
      </c>
      <c r="AJ236" s="23" t="str">
        <f aca="false">IF(G236&gt;='판정 기준'!$B$8,"경기긴장도, ","")&amp;IF(Q236&gt;='판정 기준'!$B$8,"사회적 도움 활용, ","")&amp;IF(K236&gt;='판정 기준'!$B$8,"경기 준비 능력, ","")&amp;IF(N236&gt;='판정 기준'!$B$8,"실수 후 회복력, ","")&amp;IF(P236&gt;='판정 기준'!$B$8,"자기 통제력, ","")</f>
        <v/>
      </c>
      <c r="AK236" s="23" t="n">
        <f aca="false">IF(AND(G236&lt;'판정 기준'!$B$8,OR(AJ236&lt;&gt;"",AP236&lt;&gt;"경기긴장도")),G236,0)</f>
        <v>3.6</v>
      </c>
      <c r="AL236" s="23" t="n">
        <f aca="false">IF(AND(Q236&lt;'판정 기준'!$B$8,OR(AJ236&lt;&gt;"",AP236&lt;&gt;"사회적 도움 활용")),Q236,0)</f>
        <v>0</v>
      </c>
      <c r="AM236" s="23" t="n">
        <f aca="false">IF(AND(K236&lt;'판정 기준'!$B$8,OR(AJ236&lt;&gt;"",AP236&lt;&gt;"경기 준비 능력")),K236,0)</f>
        <v>3.8</v>
      </c>
      <c r="AN236" s="23" t="n">
        <f aca="false">IF(AND(N236&lt;'판정 기준'!$B$8,OR(AJ236&lt;&gt;"",AP236&lt;&gt;"실수 후 회복력")),N236,0)</f>
        <v>4.1</v>
      </c>
      <c r="AO236" s="23" t="n">
        <f aca="false">IF(AND(P236&lt;'판정 기준'!$B$8,OR(AJ236&lt;&gt;"",AP236&lt;&gt;"자기 통제력")),P236,0)</f>
        <v>3.3</v>
      </c>
      <c r="AP236" s="23" t="str">
        <f aca="false">IF(Q236=MAX(G236,Q236,K236,N236,P236),"사회적 도움 활용",IF(P236=MAX(G236,Q236,K236,N236,P236),"자기 통제력",IF(G236=MAX(G236,Q236,K236,N236,P236),"경기긴장도",IF(K236=MAX(G236,Q236,K236,N236,P236),"경기 준비 능력","실수 후 회복력"))))</f>
        <v>사회적 도움 활용</v>
      </c>
    </row>
    <row r="237" customFormat="false" ht="17.15" hidden="false" customHeight="false" outlineLevel="0" collapsed="false">
      <c r="A237" s="13" t="s">
        <v>458</v>
      </c>
      <c r="B237" s="13" t="s">
        <v>187</v>
      </c>
      <c r="C237" s="13" t="s">
        <v>335</v>
      </c>
      <c r="D237" s="14" t="n">
        <v>46161</v>
      </c>
      <c r="E237" s="41" t="s">
        <v>198</v>
      </c>
      <c r="F237" s="42" t="n">
        <v>4.7</v>
      </c>
      <c r="G237" s="42" t="n">
        <v>4.8</v>
      </c>
      <c r="H237" s="42" t="n">
        <v>4.7</v>
      </c>
      <c r="I237" s="42" t="n">
        <v>5.8</v>
      </c>
      <c r="J237" s="42" t="n">
        <v>4.3</v>
      </c>
      <c r="K237" s="42" t="n">
        <v>4.8</v>
      </c>
      <c r="L237" s="42" t="n">
        <v>5</v>
      </c>
      <c r="M237" s="42" t="n">
        <v>4.6</v>
      </c>
      <c r="N237" s="42" t="n">
        <v>4.7</v>
      </c>
      <c r="O237" s="42" t="n">
        <v>4</v>
      </c>
      <c r="P237" s="42" t="n">
        <v>4.5</v>
      </c>
      <c r="Q237" s="42" t="n">
        <v>5.6</v>
      </c>
      <c r="R237" s="42" t="n">
        <v>5.7</v>
      </c>
      <c r="S237" s="37" t="n">
        <f aca="false">AVERAGE(G237:J237)</f>
        <v>4.9</v>
      </c>
      <c r="T237" s="37" t="n">
        <f aca="false">AVERAGE(K237:M237)</f>
        <v>4.8</v>
      </c>
      <c r="U237" s="37" t="n">
        <f aca="false">AVERAGE(N237:O237)</f>
        <v>4.35</v>
      </c>
      <c r="V237" s="23" t="str">
        <f aca="false">IF(S237&gt;='판정 기준'!$B$3,"H","L")&amp;IF(T237&gt;='판정 기준'!$B$3,"H","L")&amp;IF(U237&gt;='판정 기준'!$B$3,"H","L")</f>
        <v>HHL</v>
      </c>
      <c r="W237" s="36" t="str">
        <f aca="false">INDEX('포지션 정의'!$A$2:$A$9,MATCH(V237,'포지션 정의'!$D$2:$D$9,0))</f>
        <v>B</v>
      </c>
      <c r="X237" s="36" t="str">
        <f aca="false">INDEX('포지션 정의'!$B$2:$B$9,MATCH(V237,'포지션 정의'!$D$2:$D$9,0))</f>
        <v>책임감 설계자형</v>
      </c>
      <c r="Y237" s="43" t="str">
        <f aca="false">IF(AJ237="","가장 높은 지표: "&amp;AP237,LEFT(AJ237,LEN(AJ237)-2))</f>
        <v>경기긴장도, 사회적 도움 활용, 경기 준비 능력</v>
      </c>
      <c r="Z237" s="43" t="str">
        <f aca="false">IF(MAX(AK237:AO237)=0,"심화: "&amp;IF(N237=MIN(G237,Q237,K237,N237,P237),"실수 후 회복력",IF(K237=MIN(G237,Q237,K237,N237,P237),"경기 준비 능력",IF(G237=MIN(G237,Q237,K237,N237,P237),"경기긴장도",IF(P237=MIN(G237,Q237,K237,N237,P237),"자기 통제력","사회적 도움 활용")))),IF(MAX(AK237:AO237)&gt;='판정 기준'!$B$8-'판정 기준'!$B$4,IF(AN237=MAX(AK237:AO237),"실수 후 회복력",IF(AM237=MAX(AK237:AO237),"경기 준비 능력",IF(AK237=MAX(AK237:AO237),"경기긴장도",IF(AO237=MAX(AK237:AO237),"자기 통제력","사회적 도움 활용")))),IF(AN237&gt;0,"실수 후 회복력",IF(AM237&gt;0,"경기 준비 능력",IF(AK237&gt;0,"경기긴장도",IF(AO237&gt;0,"자기 통제력","사회적 도움 활용"))))))</f>
        <v>실수 후 회복력</v>
      </c>
      <c r="AA237" s="43" t="str">
        <f aca="false">INDEX('포지션 정의'!$L$2:$L$9,MATCH(V237,'포지션 정의'!$D$2:$D$9,0))</f>
        <v>해리 케인 · 토니 크로스 · 필립 람</v>
      </c>
      <c r="AB237" s="24" t="n">
        <f aca="false">ROUND(100*(1-SQRT(((S237-'포지션 정의'!$N$2)^2+(T237-'포지션 정의'!$O$2)^2+(U237-'포지션 정의'!$P$2)^2)/3)/'판정 기준'!$B$7),0)</f>
        <v>85</v>
      </c>
      <c r="AC237" s="24" t="n">
        <f aca="false">ROUND(100*(1-SQRT(((S237-'포지션 정의'!$N$3)^2+(T237-'포지션 정의'!$O$3)^2+(U237-'포지션 정의'!$P$3)^2)/3)/'판정 기준'!$B$7),0)</f>
        <v>91</v>
      </c>
      <c r="AD237" s="24" t="n">
        <f aca="false">ROUND(100*(1-SQRT(((S237-'포지션 정의'!$N$4)^2+(T237-'포지션 정의'!$O$4)^2+(U237-'포지션 정의'!$P$4)^2)/3)/'판정 기준'!$B$7),0)</f>
        <v>86</v>
      </c>
      <c r="AE237" s="24" t="n">
        <f aca="false">ROUND(100*(1-SQRT(((S237-'포지션 정의'!$N$5)^2+(T237-'포지션 정의'!$O$5)^2+(U237-'포지션 정의'!$P$5)^2)/3)/'판정 기준'!$B$7),0)</f>
        <v>84</v>
      </c>
      <c r="AF237" s="24" t="n">
        <f aca="false">ROUND(100*(1-SQRT(((S237-'포지션 정의'!$N$6)^2+(T237-'포지션 정의'!$O$6)^2+(U237-'포지션 정의'!$P$6)^2)/3)/'판정 기준'!$B$7),0)</f>
        <v>80</v>
      </c>
      <c r="AG237" s="24" t="n">
        <f aca="false">ROUND(100*(1-SQRT(((S237-'포지션 정의'!$N$7)^2+(T237-'포지션 정의'!$O$7)^2+(U237-'포지션 정의'!$P$7)^2)/3)/'판정 기준'!$B$7),0)</f>
        <v>83</v>
      </c>
      <c r="AH237" s="24" t="n">
        <f aca="false">ROUND(100*(1-SQRT(((S237-'포지션 정의'!$N$8)^2+(T237-'포지션 정의'!$O$8)^2+(U237-'포지션 정의'!$P$8)^2)/3)/'판정 기준'!$B$7),0)</f>
        <v>82</v>
      </c>
      <c r="AI237" s="24" t="n">
        <f aca="false">ROUND(100*(1-SQRT(((S237-'포지션 정의'!$N$9)^2+(T237-'포지션 정의'!$O$9)^2+(U237-'포지션 정의'!$P$9)^2)/3)/'판정 기준'!$B$7),0)</f>
        <v>89</v>
      </c>
      <c r="AJ237" s="23" t="str">
        <f aca="false">IF(G237&gt;='판정 기준'!$B$8,"경기긴장도, ","")&amp;IF(Q237&gt;='판정 기준'!$B$8,"사회적 도움 활용, ","")&amp;IF(K237&gt;='판정 기준'!$B$8,"경기 준비 능력, ","")&amp;IF(N237&gt;='판정 기준'!$B$8,"실수 후 회복력, ","")&amp;IF(P237&gt;='판정 기준'!$B$8,"자기 통제력, ","")</f>
        <v>경기긴장도, 사회적 도움 활용, 경기 준비 능력, </v>
      </c>
      <c r="AK237" s="23" t="n">
        <f aca="false">IF(AND(G237&lt;'판정 기준'!$B$8,OR(AJ237&lt;&gt;"",AP237&lt;&gt;"경기긴장도")),G237,0)</f>
        <v>0</v>
      </c>
      <c r="AL237" s="23" t="n">
        <f aca="false">IF(AND(Q237&lt;'판정 기준'!$B$8,OR(AJ237&lt;&gt;"",AP237&lt;&gt;"사회적 도움 활용")),Q237,0)</f>
        <v>0</v>
      </c>
      <c r="AM237" s="23" t="n">
        <f aca="false">IF(AND(K237&lt;'판정 기준'!$B$8,OR(AJ237&lt;&gt;"",AP237&lt;&gt;"경기 준비 능력")),K237,0)</f>
        <v>0</v>
      </c>
      <c r="AN237" s="23" t="n">
        <f aca="false">IF(AND(N237&lt;'판정 기준'!$B$8,OR(AJ237&lt;&gt;"",AP237&lt;&gt;"실수 후 회복력")),N237,0)</f>
        <v>4.7</v>
      </c>
      <c r="AO237" s="23" t="n">
        <f aca="false">IF(AND(P237&lt;'판정 기준'!$B$8,OR(AJ237&lt;&gt;"",AP237&lt;&gt;"자기 통제력")),P237,0)</f>
        <v>4.5</v>
      </c>
      <c r="AP237" s="23" t="str">
        <f aca="false">IF(Q237=MAX(G237,Q237,K237,N237,P237),"사회적 도움 활용",IF(P237=MAX(G237,Q237,K237,N237,P237),"자기 통제력",IF(G237=MAX(G237,Q237,K237,N237,P237),"경기긴장도",IF(K237=MAX(G237,Q237,K237,N237,P237),"경기 준비 능력","실수 후 회복력"))))</f>
        <v>사회적 도움 활용</v>
      </c>
    </row>
    <row r="238" customFormat="false" ht="17.15" hidden="false" customHeight="false" outlineLevel="0" collapsed="false">
      <c r="A238" s="13" t="s">
        <v>459</v>
      </c>
      <c r="B238" s="13" t="s">
        <v>187</v>
      </c>
      <c r="C238" s="13" t="s">
        <v>460</v>
      </c>
      <c r="D238" s="14" t="n">
        <v>46146</v>
      </c>
      <c r="E238" s="41" t="s">
        <v>193</v>
      </c>
      <c r="F238" s="42" t="n">
        <v>3.6</v>
      </c>
      <c r="G238" s="42" t="n">
        <v>2.6</v>
      </c>
      <c r="H238" s="42" t="n">
        <v>1.8</v>
      </c>
      <c r="I238" s="42" t="n">
        <v>3.2</v>
      </c>
      <c r="J238" s="42" t="n">
        <v>2.3</v>
      </c>
      <c r="K238" s="42" t="n">
        <v>4.4</v>
      </c>
      <c r="L238" s="42" t="n">
        <v>4.3</v>
      </c>
      <c r="M238" s="42" t="n">
        <v>4.4</v>
      </c>
      <c r="N238" s="42" t="n">
        <v>3.7</v>
      </c>
      <c r="O238" s="42" t="n">
        <v>2.8</v>
      </c>
      <c r="P238" s="42" t="n">
        <v>3.5</v>
      </c>
      <c r="Q238" s="42" t="n">
        <v>5</v>
      </c>
      <c r="R238" s="42" t="n">
        <v>4.7</v>
      </c>
      <c r="S238" s="37" t="n">
        <f aca="false">AVERAGE(G238:J238)</f>
        <v>2.475</v>
      </c>
      <c r="T238" s="37" t="n">
        <f aca="false">AVERAGE(K238:M238)</f>
        <v>4.36666666666667</v>
      </c>
      <c r="U238" s="37" t="n">
        <f aca="false">AVERAGE(N238:O238)</f>
        <v>3.25</v>
      </c>
      <c r="V238" s="23" t="str">
        <f aca="false">IF(S238&gt;='판정 기준'!$B$3,"H","L")&amp;IF(T238&gt;='판정 기준'!$B$3,"H","L")&amp;IF(U238&gt;='판정 기준'!$B$3,"H","L")</f>
        <v>LLL</v>
      </c>
      <c r="W238" s="36" t="str">
        <f aca="false">INDEX('포지션 정의'!$A$2:$A$9,MATCH(V238,'포지션 정의'!$D$2:$D$9,0))</f>
        <v>G</v>
      </c>
      <c r="X238" s="36" t="str">
        <f aca="false">INDEX('포지션 정의'!$B$2:$B$9,MATCH(V238,'포지션 정의'!$D$2:$D$9,0))</f>
        <v>스펀지 흡수형</v>
      </c>
      <c r="Y238" s="43" t="str">
        <f aca="false">IF(AJ238="","가장 높은 지표: "&amp;AP238,LEFT(AJ238,LEN(AJ238)-2))</f>
        <v>사회적 도움 활용</v>
      </c>
      <c r="Z238" s="43" t="str">
        <f aca="false">IF(MAX(AK238:AO238)=0,"심화: "&amp;IF(N238=MIN(G238,Q238,K238,N238,P238),"실수 후 회복력",IF(K238=MIN(G238,Q238,K238,N238,P238),"경기 준비 능력",IF(G238=MIN(G238,Q238,K238,N238,P238),"경기긴장도",IF(P238=MIN(G238,Q238,K238,N238,P238),"자기 통제력","사회적 도움 활용")))),IF(MAX(AK238:AO238)&gt;='판정 기준'!$B$8-'판정 기준'!$B$4,IF(AN238=MAX(AK238:AO238),"실수 후 회복력",IF(AM238=MAX(AK238:AO238),"경기 준비 능력",IF(AK238=MAX(AK238:AO238),"경기긴장도",IF(AO238=MAX(AK238:AO238),"자기 통제력","사회적 도움 활용")))),IF(AN238&gt;0,"실수 후 회복력",IF(AM238&gt;0,"경기 준비 능력",IF(AK238&gt;0,"경기긴장도",IF(AO238&gt;0,"자기 통제력","사회적 도움 활용"))))))</f>
        <v>실수 후 회복력</v>
      </c>
      <c r="AA238" s="43" t="str">
        <f aca="false">INDEX('포지션 정의'!$L$2:$L$9,MATCH(V238,'포지션 정의'!$D$2:$D$9,0))</f>
        <v>디디에 드로그바 · 앙투안 그리즈만 · 모하메드 살라</v>
      </c>
      <c r="AB238" s="24" t="n">
        <f aca="false">ROUND(100*(1-SQRT(((S238-'포지션 정의'!$N$2)^2+(T238-'포지션 정의'!$O$2)^2+(U238-'포지션 정의'!$P$2)^2)/3)/'판정 기준'!$B$7),0)</f>
        <v>81</v>
      </c>
      <c r="AC238" s="24" t="n">
        <f aca="false">ROUND(100*(1-SQRT(((S238-'포지션 정의'!$N$3)^2+(T238-'포지션 정의'!$O$3)^2+(U238-'포지션 정의'!$P$3)^2)/3)/'판정 기준'!$B$7),0)</f>
        <v>66</v>
      </c>
      <c r="AD238" s="24" t="n">
        <f aca="false">ROUND(100*(1-SQRT(((S238-'포지션 정의'!$N$4)^2+(T238-'포지션 정의'!$O$4)^2+(U238-'포지션 정의'!$P$4)^2)/3)/'판정 기준'!$B$7),0)</f>
        <v>67</v>
      </c>
      <c r="AE238" s="24" t="n">
        <f aca="false">ROUND(100*(1-SQRT(((S238-'포지션 정의'!$N$5)^2+(T238-'포지션 정의'!$O$5)^2+(U238-'포지션 정의'!$P$5)^2)/3)/'판정 기준'!$B$7),0)</f>
        <v>61</v>
      </c>
      <c r="AF238" s="24" t="n">
        <f aca="false">ROUND(100*(1-SQRT(((S238-'포지션 정의'!$N$6)^2+(T238-'포지션 정의'!$O$6)^2+(U238-'포지션 정의'!$P$6)^2)/3)/'판정 기준'!$B$7),0)</f>
        <v>72</v>
      </c>
      <c r="AG238" s="24" t="n">
        <f aca="false">ROUND(100*(1-SQRT(((S238-'포지션 정의'!$N$7)^2+(T238-'포지션 정의'!$O$7)^2+(U238-'포지션 정의'!$P$7)^2)/3)/'판정 기준'!$B$7),0)</f>
        <v>71</v>
      </c>
      <c r="AH238" s="24" t="n">
        <f aca="false">ROUND(100*(1-SQRT(((S238-'포지션 정의'!$N$8)^2+(T238-'포지션 정의'!$O$8)^2+(U238-'포지션 정의'!$P$8)^2)/3)/'판정 기준'!$B$7),0)</f>
        <v>82</v>
      </c>
      <c r="AI238" s="24" t="n">
        <f aca="false">ROUND(100*(1-SQRT(((S238-'포지션 정의'!$N$9)^2+(T238-'포지션 정의'!$O$9)^2+(U238-'포지션 정의'!$P$9)^2)/3)/'판정 기준'!$B$7),0)</f>
        <v>60</v>
      </c>
      <c r="AJ238" s="23" t="str">
        <f aca="false">IF(G238&gt;='판정 기준'!$B$8,"경기긴장도, ","")&amp;IF(Q238&gt;='판정 기준'!$B$8,"사회적 도움 활용, ","")&amp;IF(K238&gt;='판정 기준'!$B$8,"경기 준비 능력, ","")&amp;IF(N238&gt;='판정 기준'!$B$8,"실수 후 회복력, ","")&amp;IF(P238&gt;='판정 기준'!$B$8,"자기 통제력, ","")</f>
        <v>사회적 도움 활용, </v>
      </c>
      <c r="AK238" s="23" t="n">
        <f aca="false">IF(AND(G238&lt;'판정 기준'!$B$8,OR(AJ238&lt;&gt;"",AP238&lt;&gt;"경기긴장도")),G238,0)</f>
        <v>2.6</v>
      </c>
      <c r="AL238" s="23" t="n">
        <f aca="false">IF(AND(Q238&lt;'판정 기준'!$B$8,OR(AJ238&lt;&gt;"",AP238&lt;&gt;"사회적 도움 활용")),Q238,0)</f>
        <v>0</v>
      </c>
      <c r="AM238" s="23" t="n">
        <f aca="false">IF(AND(K238&lt;'판정 기준'!$B$8,OR(AJ238&lt;&gt;"",AP238&lt;&gt;"경기 준비 능력")),K238,0)</f>
        <v>4.4</v>
      </c>
      <c r="AN238" s="23" t="n">
        <f aca="false">IF(AND(N238&lt;'판정 기준'!$B$8,OR(AJ238&lt;&gt;"",AP238&lt;&gt;"실수 후 회복력")),N238,0)</f>
        <v>3.7</v>
      </c>
      <c r="AO238" s="23" t="n">
        <f aca="false">IF(AND(P238&lt;'판정 기준'!$B$8,OR(AJ238&lt;&gt;"",AP238&lt;&gt;"자기 통제력")),P238,0)</f>
        <v>3.5</v>
      </c>
      <c r="AP238" s="23" t="str">
        <f aca="false">IF(Q238=MAX(G238,Q238,K238,N238,P238),"사회적 도움 활용",IF(P238=MAX(G238,Q238,K238,N238,P238),"자기 통제력",IF(G238=MAX(G238,Q238,K238,N238,P238),"경기긴장도",IF(K238=MAX(G238,Q238,K238,N238,P238),"경기 준비 능력","실수 후 회복력"))))</f>
        <v>사회적 도움 활용</v>
      </c>
    </row>
    <row r="239" customFormat="false" ht="17.15" hidden="false" customHeight="false" outlineLevel="0" collapsed="false">
      <c r="A239" s="13" t="s">
        <v>461</v>
      </c>
      <c r="B239" s="13" t="s">
        <v>187</v>
      </c>
      <c r="C239" s="13" t="s">
        <v>312</v>
      </c>
      <c r="D239" s="14" t="n">
        <v>46163</v>
      </c>
      <c r="E239" s="41" t="s">
        <v>198</v>
      </c>
      <c r="F239" s="42" t="n">
        <v>4</v>
      </c>
      <c r="G239" s="42" t="n">
        <v>3.6</v>
      </c>
      <c r="H239" s="42" t="n">
        <v>3.5</v>
      </c>
      <c r="I239" s="42" t="n">
        <v>3.4</v>
      </c>
      <c r="J239" s="42" t="n">
        <v>3.2</v>
      </c>
      <c r="K239" s="42" t="n">
        <v>3.8</v>
      </c>
      <c r="L239" s="42" t="n">
        <v>3.5</v>
      </c>
      <c r="M239" s="42" t="n">
        <v>4</v>
      </c>
      <c r="N239" s="42" t="n">
        <v>5</v>
      </c>
      <c r="O239" s="42" t="n">
        <v>5</v>
      </c>
      <c r="P239" s="42" t="n">
        <v>3.3</v>
      </c>
      <c r="Q239" s="42" t="n">
        <v>5.4</v>
      </c>
      <c r="R239" s="42" t="n">
        <v>3.7</v>
      </c>
      <c r="S239" s="37" t="n">
        <f aca="false">AVERAGE(G239:J239)</f>
        <v>3.425</v>
      </c>
      <c r="T239" s="37" t="n">
        <f aca="false">AVERAGE(K239:M239)</f>
        <v>3.76666666666667</v>
      </c>
      <c r="U239" s="37" t="n">
        <f aca="false">AVERAGE(N239:O239)</f>
        <v>5</v>
      </c>
      <c r="V239" s="23" t="str">
        <f aca="false">IF(S239&gt;='판정 기준'!$B$3,"H","L")&amp;IF(T239&gt;='판정 기준'!$B$3,"H","L")&amp;IF(U239&gt;='판정 기준'!$B$3,"H","L")</f>
        <v>LLH</v>
      </c>
      <c r="W239" s="36" t="str">
        <f aca="false">INDEX('포지션 정의'!$A$2:$A$9,MATCH(V239,'포지션 정의'!$D$2:$D$9,0))</f>
        <v>E</v>
      </c>
      <c r="X239" s="36" t="str">
        <f aca="false">INDEX('포지션 정의'!$B$2:$B$9,MATCH(V239,'포지션 정의'!$D$2:$D$9,0))</f>
        <v>오뚝이 회복형</v>
      </c>
      <c r="Y239" s="43" t="str">
        <f aca="false">IF(AJ239="","가장 높은 지표: "&amp;AP239,LEFT(AJ239,LEN(AJ239)-2))</f>
        <v>사회적 도움 활용, 실수 후 회복력</v>
      </c>
      <c r="Z239" s="43" t="str">
        <f aca="false">IF(MAX(AK239:AO239)=0,"심화: "&amp;IF(N239=MIN(G239,Q239,K239,N239,P239),"실수 후 회복력",IF(K239=MIN(G239,Q239,K239,N239,P239),"경기 준비 능력",IF(G239=MIN(G239,Q239,K239,N239,P239),"경기긴장도",IF(P239=MIN(G239,Q239,K239,N239,P239),"자기 통제력","사회적 도움 활용")))),IF(MAX(AK239:AO239)&gt;='판정 기준'!$B$8-'판정 기준'!$B$4,IF(AN239=MAX(AK239:AO239),"실수 후 회복력",IF(AM239=MAX(AK239:AO239),"경기 준비 능력",IF(AK239=MAX(AK239:AO239),"경기긴장도",IF(AO239=MAX(AK239:AO239),"자기 통제력","사회적 도움 활용")))),IF(AN239&gt;0,"실수 후 회복력",IF(AM239&gt;0,"경기 준비 능력",IF(AK239&gt;0,"경기긴장도",IF(AO239&gt;0,"자기 통제력","사회적 도움 활용"))))))</f>
        <v>경기 준비 능력</v>
      </c>
      <c r="AA239" s="43" t="str">
        <f aca="false">INDEX('포지션 정의'!$L$2:$L$9,MATCH(V239,'포지션 정의'!$D$2:$D$9,0))</f>
        <v>올리비에 지루 · 디에고 포를란 · 라다멜 팔카오</v>
      </c>
      <c r="AB239" s="24" t="n">
        <f aca="false">ROUND(100*(1-SQRT(((S239-'포지션 정의'!$N$2)^2+(T239-'포지션 정의'!$O$2)^2+(U239-'포지션 정의'!$P$2)^2)/3)/'판정 기준'!$B$7),0)</f>
        <v>78</v>
      </c>
      <c r="AC239" s="24" t="n">
        <f aca="false">ROUND(100*(1-SQRT(((S239-'포지션 정의'!$N$3)^2+(T239-'포지션 정의'!$O$3)^2+(U239-'포지션 정의'!$P$3)^2)/3)/'판정 기준'!$B$7),0)</f>
        <v>70</v>
      </c>
      <c r="AD239" s="24" t="n">
        <f aca="false">ROUND(100*(1-SQRT(((S239-'포지션 정의'!$N$4)^2+(T239-'포지션 정의'!$O$4)^2+(U239-'포지션 정의'!$P$4)^2)/3)/'판정 기준'!$B$7),0)</f>
        <v>75</v>
      </c>
      <c r="AE239" s="24" t="n">
        <f aca="false">ROUND(100*(1-SQRT(((S239-'포지션 정의'!$N$5)^2+(T239-'포지션 정의'!$O$5)^2+(U239-'포지션 정의'!$P$5)^2)/3)/'판정 기준'!$B$7),0)</f>
        <v>79</v>
      </c>
      <c r="AF239" s="24" t="n">
        <f aca="false">ROUND(100*(1-SQRT(((S239-'포지션 정의'!$N$6)^2+(T239-'포지션 정의'!$O$6)^2+(U239-'포지션 정의'!$P$6)^2)/3)/'판정 기준'!$B$7),0)</f>
        <v>95</v>
      </c>
      <c r="AG239" s="24" t="n">
        <f aca="false">ROUND(100*(1-SQRT(((S239-'포지션 정의'!$N$7)^2+(T239-'포지션 정의'!$O$7)^2+(U239-'포지션 정의'!$P$7)^2)/3)/'판정 기준'!$B$7),0)</f>
        <v>83</v>
      </c>
      <c r="AH239" s="24" t="n">
        <f aca="false">ROUND(100*(1-SQRT(((S239-'포지션 정의'!$N$8)^2+(T239-'포지션 정의'!$O$8)^2+(U239-'포지션 정의'!$P$8)^2)/3)/'판정 기준'!$B$7),0)</f>
        <v>85</v>
      </c>
      <c r="AI239" s="24" t="n">
        <f aca="false">ROUND(100*(1-SQRT(((S239-'포지션 정의'!$N$9)^2+(T239-'포지션 정의'!$O$9)^2+(U239-'포지션 정의'!$P$9)^2)/3)/'판정 기준'!$B$7),0)</f>
        <v>74</v>
      </c>
      <c r="AJ239" s="23" t="str">
        <f aca="false">IF(G239&gt;='판정 기준'!$B$8,"경기긴장도, ","")&amp;IF(Q239&gt;='판정 기준'!$B$8,"사회적 도움 활용, ","")&amp;IF(K239&gt;='판정 기준'!$B$8,"경기 준비 능력, ","")&amp;IF(N239&gt;='판정 기준'!$B$8,"실수 후 회복력, ","")&amp;IF(P239&gt;='판정 기준'!$B$8,"자기 통제력, ","")</f>
        <v>사회적 도움 활용, 실수 후 회복력, </v>
      </c>
      <c r="AK239" s="23" t="n">
        <f aca="false">IF(AND(G239&lt;'판정 기준'!$B$8,OR(AJ239&lt;&gt;"",AP239&lt;&gt;"경기긴장도")),G239,0)</f>
        <v>3.6</v>
      </c>
      <c r="AL239" s="23" t="n">
        <f aca="false">IF(AND(Q239&lt;'판정 기준'!$B$8,OR(AJ239&lt;&gt;"",AP239&lt;&gt;"사회적 도움 활용")),Q239,0)</f>
        <v>0</v>
      </c>
      <c r="AM239" s="23" t="n">
        <f aca="false">IF(AND(K239&lt;'판정 기준'!$B$8,OR(AJ239&lt;&gt;"",AP239&lt;&gt;"경기 준비 능력")),K239,0)</f>
        <v>3.8</v>
      </c>
      <c r="AN239" s="23" t="n">
        <f aca="false">IF(AND(N239&lt;'판정 기준'!$B$8,OR(AJ239&lt;&gt;"",AP239&lt;&gt;"실수 후 회복력")),N239,0)</f>
        <v>0</v>
      </c>
      <c r="AO239" s="23" t="n">
        <f aca="false">IF(AND(P239&lt;'판정 기준'!$B$8,OR(AJ239&lt;&gt;"",AP239&lt;&gt;"자기 통제력")),P239,0)</f>
        <v>3.3</v>
      </c>
      <c r="AP239" s="23" t="str">
        <f aca="false">IF(Q239=MAX(G239,Q239,K239,N239,P239),"사회적 도움 활용",IF(P239=MAX(G239,Q239,K239,N239,P239),"자기 통제력",IF(G239=MAX(G239,Q239,K239,N239,P239),"경기긴장도",IF(K239=MAX(G239,Q239,K239,N239,P239),"경기 준비 능력","실수 후 회복력"))))</f>
        <v>사회적 도움 활용</v>
      </c>
    </row>
    <row r="240" customFormat="false" ht="17.15" hidden="false" customHeight="false" outlineLevel="0" collapsed="false">
      <c r="A240" s="13" t="s">
        <v>462</v>
      </c>
      <c r="B240" s="13" t="s">
        <v>191</v>
      </c>
      <c r="C240" s="13" t="s">
        <v>463</v>
      </c>
      <c r="D240" s="14" t="n">
        <v>46154</v>
      </c>
      <c r="E240" s="41" t="s">
        <v>435</v>
      </c>
      <c r="F240" s="42" t="n">
        <v>3.9</v>
      </c>
      <c r="G240" s="42" t="n">
        <v>3.9</v>
      </c>
      <c r="H240" s="42" t="n">
        <v>4</v>
      </c>
      <c r="I240" s="42" t="n">
        <v>3.8</v>
      </c>
      <c r="J240" s="42" t="n">
        <v>3.5</v>
      </c>
      <c r="K240" s="42" t="n">
        <v>3.2</v>
      </c>
      <c r="L240" s="42" t="n">
        <v>3</v>
      </c>
      <c r="M240" s="42" t="n">
        <v>3.3</v>
      </c>
      <c r="N240" s="42" t="n">
        <v>4.7</v>
      </c>
      <c r="O240" s="42" t="n">
        <v>4.7</v>
      </c>
      <c r="P240" s="42" t="n">
        <v>3.5</v>
      </c>
      <c r="Q240" s="42" t="n">
        <v>4</v>
      </c>
      <c r="R240" s="42" t="n">
        <v>5.3</v>
      </c>
      <c r="S240" s="37" t="n">
        <f aca="false">AVERAGE(G240:J240)</f>
        <v>3.8</v>
      </c>
      <c r="T240" s="37" t="n">
        <f aca="false">AVERAGE(K240:M240)</f>
        <v>3.16666666666667</v>
      </c>
      <c r="U240" s="37" t="n">
        <f aca="false">AVERAGE(N240:O240)</f>
        <v>4.7</v>
      </c>
      <c r="V240" s="23" t="str">
        <f aca="false">IF(S240&gt;='판정 기준'!$B$3,"H","L")&amp;IF(T240&gt;='판정 기준'!$B$3,"H","L")&amp;IF(U240&gt;='판정 기준'!$B$3,"H","L")</f>
        <v>LLH</v>
      </c>
      <c r="W240" s="36" t="str">
        <f aca="false">INDEX('포지션 정의'!$A$2:$A$9,MATCH(V240,'포지션 정의'!$D$2:$D$9,0))</f>
        <v>E</v>
      </c>
      <c r="X240" s="36" t="str">
        <f aca="false">INDEX('포지션 정의'!$B$2:$B$9,MATCH(V240,'포지션 정의'!$D$2:$D$9,0))</f>
        <v>오뚝이 회복형</v>
      </c>
      <c r="Y240" s="43" t="str">
        <f aca="false">IF(AJ240="","가장 높은 지표: "&amp;AP240,LEFT(AJ240,LEN(AJ240)-2))</f>
        <v>가장 높은 지표: 실수 후 회복력</v>
      </c>
      <c r="Z240" s="43" t="str">
        <f aca="false">IF(MAX(AK240:AO240)=0,"심화: "&amp;IF(N240=MIN(G240,Q240,K240,N240,P240),"실수 후 회복력",IF(K240=MIN(G240,Q240,K240,N240,P240),"경기 준비 능력",IF(G240=MIN(G240,Q240,K240,N240,P240),"경기긴장도",IF(P240=MIN(G240,Q240,K240,N240,P240),"자기 통제력","사회적 도움 활용")))),IF(MAX(AK240:AO240)&gt;='판정 기준'!$B$8-'판정 기준'!$B$4,IF(AN240=MAX(AK240:AO240),"실수 후 회복력",IF(AM240=MAX(AK240:AO240),"경기 준비 능력",IF(AK240=MAX(AK240:AO240),"경기긴장도",IF(AO240=MAX(AK240:AO240),"자기 통제력","사회적 도움 활용")))),IF(AN240&gt;0,"실수 후 회복력",IF(AM240&gt;0,"경기 준비 능력",IF(AK240&gt;0,"경기긴장도",IF(AO240&gt;0,"자기 통제력","사회적 도움 활용"))))))</f>
        <v>경기 준비 능력</v>
      </c>
      <c r="AA240" s="43" t="str">
        <f aca="false">INDEX('포지션 정의'!$L$2:$L$9,MATCH(V240,'포지션 정의'!$D$2:$D$9,0))</f>
        <v>올리비에 지루 · 디에고 포를란 · 라다멜 팔카오</v>
      </c>
      <c r="AB240" s="24" t="n">
        <f aca="false">ROUND(100*(1-SQRT(((S240-'포지션 정의'!$N$2)^2+(T240-'포지션 정의'!$O$2)^2+(U240-'포지션 정의'!$P$2)^2)/3)/'판정 기준'!$B$7),0)</f>
        <v>74</v>
      </c>
      <c r="AC240" s="24" t="n">
        <f aca="false">ROUND(100*(1-SQRT(((S240-'포지션 정의'!$N$3)^2+(T240-'포지션 정의'!$O$3)^2+(U240-'포지션 정의'!$P$3)^2)/3)/'판정 기준'!$B$7),0)</f>
        <v>70</v>
      </c>
      <c r="AD240" s="24" t="n">
        <f aca="false">ROUND(100*(1-SQRT(((S240-'포지션 정의'!$N$4)^2+(T240-'포지션 정의'!$O$4)^2+(U240-'포지션 정의'!$P$4)^2)/3)/'판정 기준'!$B$7),0)</f>
        <v>79</v>
      </c>
      <c r="AE240" s="24" t="n">
        <f aca="false">ROUND(100*(1-SQRT(((S240-'포지션 정의'!$N$5)^2+(T240-'포지션 정의'!$O$5)^2+(U240-'포지션 정의'!$P$5)^2)/3)/'판정 기준'!$B$7),0)</f>
        <v>81</v>
      </c>
      <c r="AF240" s="24" t="n">
        <f aca="false">ROUND(100*(1-SQRT(((S240-'포지션 정의'!$N$6)^2+(T240-'포지션 정의'!$O$6)^2+(U240-'포지션 정의'!$P$6)^2)/3)/'판정 기준'!$B$7),0)</f>
        <v>91</v>
      </c>
      <c r="AG240" s="24" t="n">
        <f aca="false">ROUND(100*(1-SQRT(((S240-'포지션 정의'!$N$7)^2+(T240-'포지션 정의'!$O$7)^2+(U240-'포지션 정의'!$P$7)^2)/3)/'판정 기준'!$B$7),0)</f>
        <v>76</v>
      </c>
      <c r="AH240" s="24" t="n">
        <f aca="false">ROUND(100*(1-SQRT(((S240-'포지션 정의'!$N$8)^2+(T240-'포지션 정의'!$O$8)^2+(U240-'포지션 정의'!$P$8)^2)/3)/'판정 기준'!$B$7),0)</f>
        <v>87</v>
      </c>
      <c r="AI240" s="24" t="n">
        <f aca="false">ROUND(100*(1-SQRT(((S240-'포지션 정의'!$N$9)^2+(T240-'포지션 정의'!$O$9)^2+(U240-'포지션 정의'!$P$9)^2)/3)/'판정 기준'!$B$7),0)</f>
        <v>71</v>
      </c>
      <c r="AJ240" s="23" t="str">
        <f aca="false">IF(G240&gt;='판정 기준'!$B$8,"경기긴장도, ","")&amp;IF(Q240&gt;='판정 기준'!$B$8,"사회적 도움 활용, ","")&amp;IF(K240&gt;='판정 기준'!$B$8,"경기 준비 능력, ","")&amp;IF(N240&gt;='판정 기준'!$B$8,"실수 후 회복력, ","")&amp;IF(P240&gt;='판정 기준'!$B$8,"자기 통제력, ","")</f>
        <v/>
      </c>
      <c r="AK240" s="23" t="n">
        <f aca="false">IF(AND(G240&lt;'판정 기준'!$B$8,OR(AJ240&lt;&gt;"",AP240&lt;&gt;"경기긴장도")),G240,0)</f>
        <v>3.9</v>
      </c>
      <c r="AL240" s="23" t="n">
        <f aca="false">IF(AND(Q240&lt;'판정 기준'!$B$8,OR(AJ240&lt;&gt;"",AP240&lt;&gt;"사회적 도움 활용")),Q240,0)</f>
        <v>4</v>
      </c>
      <c r="AM240" s="23" t="n">
        <f aca="false">IF(AND(K240&lt;'판정 기준'!$B$8,OR(AJ240&lt;&gt;"",AP240&lt;&gt;"경기 준비 능력")),K240,0)</f>
        <v>3.2</v>
      </c>
      <c r="AN240" s="23" t="n">
        <f aca="false">IF(AND(N240&lt;'판정 기준'!$B$8,OR(AJ240&lt;&gt;"",AP240&lt;&gt;"실수 후 회복력")),N240,0)</f>
        <v>0</v>
      </c>
      <c r="AO240" s="23" t="n">
        <f aca="false">IF(AND(P240&lt;'판정 기준'!$B$8,OR(AJ240&lt;&gt;"",AP240&lt;&gt;"자기 통제력")),P240,0)</f>
        <v>3.5</v>
      </c>
      <c r="AP240" s="23" t="str">
        <f aca="false">IF(Q240=MAX(G240,Q240,K240,N240,P240),"사회적 도움 활용",IF(P240=MAX(G240,Q240,K240,N240,P240),"자기 통제력",IF(G240=MAX(G240,Q240,K240,N240,P240),"경기긴장도",IF(K240=MAX(G240,Q240,K240,N240,P240),"경기 준비 능력","실수 후 회복력"))))</f>
        <v>실수 후 회복력</v>
      </c>
    </row>
    <row r="241" customFormat="false" ht="17.15" hidden="false" customHeight="false" outlineLevel="0" collapsed="false">
      <c r="A241" s="13" t="s">
        <v>464</v>
      </c>
      <c r="B241" s="13" t="s">
        <v>187</v>
      </c>
      <c r="C241" s="13" t="s">
        <v>207</v>
      </c>
      <c r="D241" s="14" t="n">
        <v>46239</v>
      </c>
      <c r="E241" s="41" t="s">
        <v>435</v>
      </c>
      <c r="F241" s="42" t="n">
        <v>4.6</v>
      </c>
      <c r="G241" s="42" t="n">
        <v>4.3</v>
      </c>
      <c r="H241" s="42" t="n">
        <v>4.8</v>
      </c>
      <c r="I241" s="42" t="n">
        <v>4.2</v>
      </c>
      <c r="J241" s="42" t="n">
        <v>3.5</v>
      </c>
      <c r="K241" s="42" t="n">
        <v>4</v>
      </c>
      <c r="L241" s="42" t="n">
        <v>3.8</v>
      </c>
      <c r="M241" s="42" t="n">
        <v>4.1</v>
      </c>
      <c r="N241" s="42" t="n">
        <v>5.3</v>
      </c>
      <c r="O241" s="42" t="n">
        <v>5.2</v>
      </c>
      <c r="P241" s="42" t="n">
        <v>4.5</v>
      </c>
      <c r="Q241" s="42" t="n">
        <v>5.4</v>
      </c>
      <c r="R241" s="42" t="n">
        <v>6</v>
      </c>
      <c r="S241" s="37" t="n">
        <f aca="false">AVERAGE(G241:J241)</f>
        <v>4.2</v>
      </c>
      <c r="T241" s="37" t="n">
        <f aca="false">AVERAGE(K241:M241)</f>
        <v>3.96666666666667</v>
      </c>
      <c r="U241" s="37" t="n">
        <f aca="false">AVERAGE(N241:O241)</f>
        <v>5.25</v>
      </c>
      <c r="V241" s="23" t="str">
        <f aca="false">IF(S241&gt;='판정 기준'!$B$3,"H","L")&amp;IF(T241&gt;='판정 기준'!$B$3,"H","L")&amp;IF(U241&gt;='판정 기준'!$B$3,"H","L")</f>
        <v>LLH</v>
      </c>
      <c r="W241" s="36" t="str">
        <f aca="false">INDEX('포지션 정의'!$A$2:$A$9,MATCH(V241,'포지션 정의'!$D$2:$D$9,0))</f>
        <v>E</v>
      </c>
      <c r="X241" s="36" t="str">
        <f aca="false">INDEX('포지션 정의'!$B$2:$B$9,MATCH(V241,'포지션 정의'!$D$2:$D$9,0))</f>
        <v>오뚝이 회복형</v>
      </c>
      <c r="Y241" s="43" t="str">
        <f aca="false">IF(AJ241="","가장 높은 지표: "&amp;AP241,LEFT(AJ241,LEN(AJ241)-2))</f>
        <v>사회적 도움 활용, 실수 후 회복력</v>
      </c>
      <c r="Z241" s="43" t="str">
        <f aca="false">IF(MAX(AK241:AO241)=0,"심화: "&amp;IF(N241=MIN(G241,Q241,K241,N241,P241),"실수 후 회복력",IF(K241=MIN(G241,Q241,K241,N241,P241),"경기 준비 능력",IF(G241=MIN(G241,Q241,K241,N241,P241),"경기긴장도",IF(P241=MIN(G241,Q241,K241,N241,P241),"자기 통제력","사회적 도움 활용")))),IF(MAX(AK241:AO241)&gt;='판정 기준'!$B$8-'판정 기준'!$B$4,IF(AN241=MAX(AK241:AO241),"실수 후 회복력",IF(AM241=MAX(AK241:AO241),"경기 준비 능력",IF(AK241=MAX(AK241:AO241),"경기긴장도",IF(AO241=MAX(AK241:AO241),"자기 통제력","사회적 도움 활용")))),IF(AN241&gt;0,"실수 후 회복력",IF(AM241&gt;0,"경기 준비 능력",IF(AK241&gt;0,"경기긴장도",IF(AO241&gt;0,"자기 통제력","사회적 도움 활용"))))))</f>
        <v>자기 통제력</v>
      </c>
      <c r="AA241" s="43" t="str">
        <f aca="false">INDEX('포지션 정의'!$L$2:$L$9,MATCH(V241,'포지션 정의'!$D$2:$D$9,0))</f>
        <v>올리비에 지루 · 디에고 포를란 · 라다멜 팔카오</v>
      </c>
      <c r="AB241" s="24" t="n">
        <f aca="false">ROUND(100*(1-SQRT(((S241-'포지션 정의'!$N$2)^2+(T241-'포지션 정의'!$O$2)^2+(U241-'포지션 정의'!$P$2)^2)/3)/'판정 기준'!$B$7),0)</f>
        <v>78</v>
      </c>
      <c r="AC241" s="24" t="n">
        <f aca="false">ROUND(100*(1-SQRT(((S241-'포지션 정의'!$N$3)^2+(T241-'포지션 정의'!$O$3)^2+(U241-'포지션 정의'!$P$3)^2)/3)/'판정 기준'!$B$7),0)</f>
        <v>75</v>
      </c>
      <c r="AD241" s="24" t="n">
        <f aca="false">ROUND(100*(1-SQRT(((S241-'포지션 정의'!$N$4)^2+(T241-'포지션 정의'!$O$4)^2+(U241-'포지션 정의'!$P$4)^2)/3)/'판정 기준'!$B$7),0)</f>
        <v>80</v>
      </c>
      <c r="AE241" s="24" t="n">
        <f aca="false">ROUND(100*(1-SQRT(((S241-'포지션 정의'!$N$5)^2+(T241-'포지션 정의'!$O$5)^2+(U241-'포지션 정의'!$P$5)^2)/3)/'판정 기준'!$B$7),0)</f>
        <v>88</v>
      </c>
      <c r="AF241" s="24" t="n">
        <f aca="false">ROUND(100*(1-SQRT(((S241-'포지션 정의'!$N$6)^2+(T241-'포지션 정의'!$O$6)^2+(U241-'포지션 정의'!$P$6)^2)/3)/'판정 기준'!$B$7),0)</f>
        <v>95</v>
      </c>
      <c r="AG241" s="24" t="n">
        <f aca="false">ROUND(100*(1-SQRT(((S241-'포지션 정의'!$N$7)^2+(T241-'포지션 정의'!$O$7)^2+(U241-'포지션 정의'!$P$7)^2)/3)/'판정 기준'!$B$7),0)</f>
        <v>85</v>
      </c>
      <c r="AH241" s="24" t="n">
        <f aca="false">ROUND(100*(1-SQRT(((S241-'포지션 정의'!$N$8)^2+(T241-'포지션 정의'!$O$8)^2+(U241-'포지션 정의'!$P$8)^2)/3)/'판정 기준'!$B$7),0)</f>
        <v>83</v>
      </c>
      <c r="AI241" s="24" t="n">
        <f aca="false">ROUND(100*(1-SQRT(((S241-'포지션 정의'!$N$9)^2+(T241-'포지션 정의'!$O$9)^2+(U241-'포지션 정의'!$P$9)^2)/3)/'판정 기준'!$B$7),0)</f>
        <v>82</v>
      </c>
      <c r="AJ241" s="23" t="str">
        <f aca="false">IF(G241&gt;='판정 기준'!$B$8,"경기긴장도, ","")&amp;IF(Q241&gt;='판정 기준'!$B$8,"사회적 도움 활용, ","")&amp;IF(K241&gt;='판정 기준'!$B$8,"경기 준비 능력, ","")&amp;IF(N241&gt;='판정 기준'!$B$8,"실수 후 회복력, ","")&amp;IF(P241&gt;='판정 기준'!$B$8,"자기 통제력, ","")</f>
        <v>사회적 도움 활용, 실수 후 회복력, </v>
      </c>
      <c r="AK241" s="23" t="n">
        <f aca="false">IF(AND(G241&lt;'판정 기준'!$B$8,OR(AJ241&lt;&gt;"",AP241&lt;&gt;"경기긴장도")),G241,0)</f>
        <v>4.3</v>
      </c>
      <c r="AL241" s="23" t="n">
        <f aca="false">IF(AND(Q241&lt;'판정 기준'!$B$8,OR(AJ241&lt;&gt;"",AP241&lt;&gt;"사회적 도움 활용")),Q241,0)</f>
        <v>0</v>
      </c>
      <c r="AM241" s="23" t="n">
        <f aca="false">IF(AND(K241&lt;'판정 기준'!$B$8,OR(AJ241&lt;&gt;"",AP241&lt;&gt;"경기 준비 능력")),K241,0)</f>
        <v>4</v>
      </c>
      <c r="AN241" s="23" t="n">
        <f aca="false">IF(AND(N241&lt;'판정 기준'!$B$8,OR(AJ241&lt;&gt;"",AP241&lt;&gt;"실수 후 회복력")),N241,0)</f>
        <v>0</v>
      </c>
      <c r="AO241" s="23" t="n">
        <f aca="false">IF(AND(P241&lt;'판정 기준'!$B$8,OR(AJ241&lt;&gt;"",AP241&lt;&gt;"자기 통제력")),P241,0)</f>
        <v>4.5</v>
      </c>
      <c r="AP241" s="23" t="str">
        <f aca="false">IF(Q241=MAX(G241,Q241,K241,N241,P241),"사회적 도움 활용",IF(P241=MAX(G241,Q241,K241,N241,P241),"자기 통제력",IF(G241=MAX(G241,Q241,K241,N241,P241),"경기긴장도",IF(K241=MAX(G241,Q241,K241,N241,P241),"경기 준비 능력","실수 후 회복력"))))</f>
        <v>사회적 도움 활용</v>
      </c>
    </row>
    <row r="242" customFormat="false" ht="17.15" hidden="false" customHeight="false" outlineLevel="0" collapsed="false">
      <c r="A242" s="13" t="s">
        <v>465</v>
      </c>
      <c r="B242" s="13" t="s">
        <v>187</v>
      </c>
      <c r="C242" s="13" t="s">
        <v>466</v>
      </c>
      <c r="D242" s="14" t="n">
        <v>46270</v>
      </c>
      <c r="E242" s="41" t="s">
        <v>189</v>
      </c>
      <c r="F242" s="42" t="n">
        <v>5.1</v>
      </c>
      <c r="G242" s="42" t="n">
        <v>4.6</v>
      </c>
      <c r="H242" s="42" t="n">
        <v>4.5</v>
      </c>
      <c r="I242" s="42" t="n">
        <v>4.4</v>
      </c>
      <c r="J242" s="42" t="n">
        <v>4.5</v>
      </c>
      <c r="K242" s="42" t="n">
        <v>5.8</v>
      </c>
      <c r="L242" s="42" t="n">
        <v>5.5</v>
      </c>
      <c r="M242" s="42" t="n">
        <v>6</v>
      </c>
      <c r="N242" s="42" t="n">
        <v>5</v>
      </c>
      <c r="O242" s="42" t="n">
        <v>4.5</v>
      </c>
      <c r="P242" s="42" t="n">
        <v>5</v>
      </c>
      <c r="Q242" s="42" t="n">
        <v>5.4</v>
      </c>
      <c r="R242" s="42" t="n">
        <v>5.7</v>
      </c>
      <c r="S242" s="37" t="n">
        <f aca="false">AVERAGE(G242:J242)</f>
        <v>4.5</v>
      </c>
      <c r="T242" s="37" t="n">
        <f aca="false">AVERAGE(K242:M242)</f>
        <v>5.76666666666667</v>
      </c>
      <c r="U242" s="37" t="n">
        <f aca="false">AVERAGE(N242:O242)</f>
        <v>4.75</v>
      </c>
      <c r="V242" s="23" t="str">
        <f aca="false">IF(S242&gt;='판정 기준'!$B$3,"H","L")&amp;IF(T242&gt;='판정 기준'!$B$3,"H","L")&amp;IF(U242&gt;='판정 기준'!$B$3,"H","L")</f>
        <v>HHH</v>
      </c>
      <c r="W242" s="36" t="str">
        <f aca="false">INDEX('포지션 정의'!$A$2:$A$9,MATCH(V242,'포지션 정의'!$D$2:$D$9,0))</f>
        <v>H</v>
      </c>
      <c r="X242" s="36" t="str">
        <f aca="false">INDEX('포지션 정의'!$B$2:$B$9,MATCH(V242,'포지션 정의'!$D$2:$D$9,0))</f>
        <v>올라운드 밸런스형</v>
      </c>
      <c r="Y242" s="43" t="str">
        <f aca="false">IF(AJ242="","가장 높은 지표: "&amp;AP242,LEFT(AJ242,LEN(AJ242)-2))</f>
        <v>사회적 도움 활용, 경기 준비 능력, 실수 후 회복력, 자기 통제력</v>
      </c>
      <c r="Z242" s="43" t="str">
        <f aca="false">IF(MAX(AK242:AO242)=0,"심화: "&amp;IF(N242=MIN(G242,Q242,K242,N242,P242),"실수 후 회복력",IF(K242=MIN(G242,Q242,K242,N242,P242),"경기 준비 능력",IF(G242=MIN(G242,Q242,K242,N242,P242),"경기긴장도",IF(P242=MIN(G242,Q242,K242,N242,P242),"자기 통제력","사회적 도움 활용")))),IF(MAX(AK242:AO242)&gt;='판정 기준'!$B$8-'판정 기준'!$B$4,IF(AN242=MAX(AK242:AO242),"실수 후 회복력",IF(AM242=MAX(AK242:AO242),"경기 준비 능력",IF(AK242=MAX(AK242:AO242),"경기긴장도",IF(AO242=MAX(AK242:AO242),"자기 통제력","사회적 도움 활용")))),IF(AN242&gt;0,"실수 후 회복력",IF(AM242&gt;0,"경기 준비 능력",IF(AK242&gt;0,"경기긴장도",IF(AO242&gt;0,"자기 통제력","사회적 도움 활용"))))))</f>
        <v>경기긴장도</v>
      </c>
      <c r="AA242" s="43" t="str">
        <f aca="false">INDEX('포지션 정의'!$L$2:$L$9,MATCH(V242,'포지션 정의'!$D$2:$D$9,0))</f>
        <v>크리스티아누 호날두 · 루카 모드리치 · 버질 반 다이크</v>
      </c>
      <c r="AB242" s="24" t="n">
        <f aca="false">ROUND(100*(1-SQRT(((S242-'포지션 정의'!$N$2)^2+(T242-'포지션 정의'!$O$2)^2+(U242-'포지션 정의'!$P$2)^2)/3)/'판정 기준'!$B$7),0)</f>
        <v>85</v>
      </c>
      <c r="AC242" s="24" t="n">
        <f aca="false">ROUND(100*(1-SQRT(((S242-'포지션 정의'!$N$3)^2+(T242-'포지션 정의'!$O$3)^2+(U242-'포지션 정의'!$P$3)^2)/3)/'판정 기준'!$B$7),0)</f>
        <v>85</v>
      </c>
      <c r="AD242" s="24" t="n">
        <f aca="false">ROUND(100*(1-SQRT(((S242-'포지션 정의'!$N$4)^2+(T242-'포지션 정의'!$O$4)^2+(U242-'포지션 정의'!$P$4)^2)/3)/'판정 기준'!$B$7),0)</f>
        <v>74</v>
      </c>
      <c r="AE242" s="24" t="n">
        <f aca="false">ROUND(100*(1-SQRT(((S242-'포지션 정의'!$N$5)^2+(T242-'포지션 정의'!$O$5)^2+(U242-'포지션 정의'!$P$5)^2)/3)/'판정 기준'!$B$7),0)</f>
        <v>75</v>
      </c>
      <c r="AF242" s="24" t="n">
        <f aca="false">ROUND(100*(1-SQRT(((S242-'포지션 정의'!$N$6)^2+(T242-'포지션 정의'!$O$6)^2+(U242-'포지션 정의'!$P$6)^2)/3)/'판정 기준'!$B$7),0)</f>
        <v>75</v>
      </c>
      <c r="AG242" s="24" t="n">
        <f aca="false">ROUND(100*(1-SQRT(((S242-'포지션 정의'!$N$7)^2+(T242-'포지션 정의'!$O$7)^2+(U242-'포지션 정의'!$P$7)^2)/3)/'판정 기준'!$B$7),0)</f>
        <v>88</v>
      </c>
      <c r="AH242" s="24" t="n">
        <f aca="false">ROUND(100*(1-SQRT(((S242-'포지션 정의'!$N$8)^2+(T242-'포지션 정의'!$O$8)^2+(U242-'포지션 정의'!$P$8)^2)/3)/'판정 기준'!$B$7),0)</f>
        <v>74</v>
      </c>
      <c r="AI242" s="24" t="n">
        <f aca="false">ROUND(100*(1-SQRT(((S242-'포지션 정의'!$N$9)^2+(T242-'포지션 정의'!$O$9)^2+(U242-'포지션 정의'!$P$9)^2)/3)/'판정 기준'!$B$7),0)</f>
        <v>88</v>
      </c>
      <c r="AJ242" s="23" t="str">
        <f aca="false">IF(G242&gt;='판정 기준'!$B$8,"경기긴장도, ","")&amp;IF(Q242&gt;='판정 기준'!$B$8,"사회적 도움 활용, ","")&amp;IF(K242&gt;='판정 기준'!$B$8,"경기 준비 능력, ","")&amp;IF(N242&gt;='판정 기준'!$B$8,"실수 후 회복력, ","")&amp;IF(P242&gt;='판정 기준'!$B$8,"자기 통제력, ","")</f>
        <v>사회적 도움 활용, 경기 준비 능력, 실수 후 회복력, 자기 통제력, </v>
      </c>
      <c r="AK242" s="23" t="n">
        <f aca="false">IF(AND(G242&lt;'판정 기준'!$B$8,OR(AJ242&lt;&gt;"",AP242&lt;&gt;"경기긴장도")),G242,0)</f>
        <v>4.6</v>
      </c>
      <c r="AL242" s="23" t="n">
        <f aca="false">IF(AND(Q242&lt;'판정 기준'!$B$8,OR(AJ242&lt;&gt;"",AP242&lt;&gt;"사회적 도움 활용")),Q242,0)</f>
        <v>0</v>
      </c>
      <c r="AM242" s="23" t="n">
        <f aca="false">IF(AND(K242&lt;'판정 기준'!$B$8,OR(AJ242&lt;&gt;"",AP242&lt;&gt;"경기 준비 능력")),K242,0)</f>
        <v>0</v>
      </c>
      <c r="AN242" s="23" t="n">
        <f aca="false">IF(AND(N242&lt;'판정 기준'!$B$8,OR(AJ242&lt;&gt;"",AP242&lt;&gt;"실수 후 회복력")),N242,0)</f>
        <v>0</v>
      </c>
      <c r="AO242" s="23" t="n">
        <f aca="false">IF(AND(P242&lt;'판정 기준'!$B$8,OR(AJ242&lt;&gt;"",AP242&lt;&gt;"자기 통제력")),P242,0)</f>
        <v>0</v>
      </c>
      <c r="AP242" s="23" t="str">
        <f aca="false">IF(Q242=MAX(G242,Q242,K242,N242,P242),"사회적 도움 활용",IF(P242=MAX(G242,Q242,K242,N242,P242),"자기 통제력",IF(G242=MAX(G242,Q242,K242,N242,P242),"경기긴장도",IF(K242=MAX(G242,Q242,K242,N242,P242),"경기 준비 능력","실수 후 회복력"))))</f>
        <v>경기 준비 능력</v>
      </c>
    </row>
  </sheetData>
  <autoFilter ref="A1:AI242"/>
  <conditionalFormatting sqref="F2:U242">
    <cfRule type="colorScale" priority="2">
      <colorScale>
        <cfvo type="num" val="2"/>
        <cfvo type="num" val="4.5"/>
        <cfvo type="num" val="6"/>
        <color rgb="FFFBE3D0"/>
        <color rgb="FFFFFFFF"/>
        <color rgb="FFD9EAD3"/>
      </colorScale>
    </cfRule>
  </conditionalFormatting>
  <conditionalFormatting sqref="AB2:AI242">
    <cfRule type="colorScale" priority="3">
      <colorScale>
        <cfvo type="num" val="50"/>
        <cfvo type="num" val="100"/>
        <color rgb="FFFFFFFF"/>
        <color rgb="FFF9B97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2026-09-15T14:08:00Z</dcterms:created>
  <dc:creator>openpyxl</dc:creator>
  <dc:description/>
  <dc:language>en-US</dc:language>
  <cp:lastModifiedBy/>
  <dcterms:modified xsi:type="dcterms:W3CDTF">2026-09-15T14:08:01Z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